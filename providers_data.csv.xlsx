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ik\Desktop\Project - MDH3\Food waste management system project\"/>
    </mc:Choice>
  </mc:AlternateContent>
  <xr:revisionPtr revIDLastSave="0" documentId="8_{F358BBBA-8E9C-4823-B82A-5079FD6F2A23}" xr6:coauthVersionLast="47" xr6:coauthVersionMax="47" xr10:uidLastSave="{00000000-0000-0000-0000-000000000000}"/>
  <bookViews>
    <workbookView xWindow="-108" yWindow="-108" windowWidth="23256" windowHeight="12456" xr2:uid="{CB4B505D-2BCA-4606-8C19-5F14DA345299}"/>
  </bookViews>
  <sheets>
    <sheet name="providers_data" sheetId="1" r:id="rId1"/>
  </sheets>
  <calcPr calcId="0"/>
</workbook>
</file>

<file path=xl/calcChain.xml><?xml version="1.0" encoding="utf-8"?>
<calcChain xmlns="http://schemas.openxmlformats.org/spreadsheetml/2006/main">
  <c r="F2" i="1" l="1"/>
  <c r="F23" i="1"/>
  <c r="F66" i="1"/>
  <c r="F73" i="1"/>
  <c r="F74" i="1"/>
  <c r="F96" i="1"/>
  <c r="F131" i="1"/>
  <c r="F176" i="1"/>
  <c r="F181" i="1"/>
  <c r="F212" i="1"/>
  <c r="F243" i="1"/>
  <c r="F287" i="1"/>
  <c r="F330" i="1"/>
  <c r="F340" i="1"/>
  <c r="F343" i="1"/>
  <c r="F365" i="1"/>
  <c r="F371" i="1"/>
  <c r="F383" i="1"/>
  <c r="F389" i="1"/>
  <c r="F458" i="1"/>
  <c r="F506" i="1"/>
  <c r="F530" i="1"/>
  <c r="F559" i="1"/>
  <c r="F587" i="1"/>
  <c r="F591" i="1"/>
  <c r="F642" i="1"/>
  <c r="F655" i="1"/>
  <c r="F674" i="1"/>
  <c r="F693" i="1"/>
  <c r="F718" i="1"/>
  <c r="F719" i="1"/>
  <c r="F753" i="1"/>
  <c r="F799" i="1"/>
  <c r="F818" i="1"/>
  <c r="F824" i="1"/>
  <c r="F859" i="1"/>
  <c r="F865" i="1"/>
  <c r="F870" i="1"/>
  <c r="F885" i="1"/>
  <c r="F892" i="1"/>
  <c r="F927" i="1"/>
  <c r="F953" i="1"/>
</calcChain>
</file>

<file path=xl/sharedStrings.xml><?xml version="1.0" encoding="utf-8"?>
<sst xmlns="http://schemas.openxmlformats.org/spreadsheetml/2006/main" count="4883" uniqueCount="3823">
  <si>
    <t>Provider_ID</t>
  </si>
  <si>
    <t>Name</t>
  </si>
  <si>
    <t>Type</t>
  </si>
  <si>
    <t>Address</t>
  </si>
  <si>
    <t>City</t>
  </si>
  <si>
    <t>Contact</t>
  </si>
  <si>
    <t>Gonzales-Cochran</t>
  </si>
  <si>
    <t>Supermarket</t>
  </si>
  <si>
    <t>74347 Christopher Extensions
Andreamouth, OK 91839</t>
  </si>
  <si>
    <t>New Jessica</t>
  </si>
  <si>
    <t>Nielsen, Johnson and Fuller</t>
  </si>
  <si>
    <t>Grocery Store</t>
  </si>
  <si>
    <t>91228 Hanson Stream
Welchtown, OR 27136</t>
  </si>
  <si>
    <t>East Sheena</t>
  </si>
  <si>
    <t>+1-925-283-8901x6297</t>
  </si>
  <si>
    <t>Miller-Black</t>
  </si>
  <si>
    <t>561 Martinez Point Suite 507
Guzmanchester, WA 94320</t>
  </si>
  <si>
    <t>Lake Jesusview</t>
  </si>
  <si>
    <t>001-517-295-2206</t>
  </si>
  <si>
    <t>Clark, Prince and Williams</t>
  </si>
  <si>
    <t>467 Bell Trail Suite 409
Port Jesus, IA 61188</t>
  </si>
  <si>
    <t>Mendezmouth</t>
  </si>
  <si>
    <t>556.944.8935x401</t>
  </si>
  <si>
    <t>Coleman-Farley</t>
  </si>
  <si>
    <t>078 Matthew Creek Apt. 319
Saraborough, MA 53978</t>
  </si>
  <si>
    <t>Valentineside</t>
  </si>
  <si>
    <t>193.714.6577</t>
  </si>
  <si>
    <t>Lawson-Walters</t>
  </si>
  <si>
    <t>1889 Barnes Gateway
Adamview, ID 87971</t>
  </si>
  <si>
    <t>Shannonside</t>
  </si>
  <si>
    <t>144-860-6074x60544</t>
  </si>
  <si>
    <t>Ortiz-Lee</t>
  </si>
  <si>
    <t>Restaurant</t>
  </si>
  <si>
    <t>1842 Villarreal Shores
Williamfort, CT 44529</t>
  </si>
  <si>
    <t>Lake Christopherburgh</t>
  </si>
  <si>
    <t>(563)889-7190</t>
  </si>
  <si>
    <t>Curtis-Lewis</t>
  </si>
  <si>
    <t>4770 Miller Light Suite 260
New Charlesville, AR 97075</t>
  </si>
  <si>
    <t>Washingtonville</t>
  </si>
  <si>
    <t>+1-521-027-8120x3301</t>
  </si>
  <si>
    <t>Nguyen Inc</t>
  </si>
  <si>
    <t>169 Scott Keys Suite 000
East Michelle, HI 57025</t>
  </si>
  <si>
    <t>Tinamouth</t>
  </si>
  <si>
    <t>898-609-2609x844</t>
  </si>
  <si>
    <t>Hall, Nguyen and Martinez</t>
  </si>
  <si>
    <t>Catering Service</t>
  </si>
  <si>
    <t>71458 Mark Field Apt. 252
North Alexland, TX 02693</t>
  </si>
  <si>
    <t>West Cherylfort</t>
  </si>
  <si>
    <t>(740)949-2480x40566</t>
  </si>
  <si>
    <t>Flores, Jackson and Ford</t>
  </si>
  <si>
    <t>0663 Paul Field
South Haileyshire, AL 19652</t>
  </si>
  <si>
    <t>South Robert</t>
  </si>
  <si>
    <t>276.527.4329</t>
  </si>
  <si>
    <t>Miller Ltd</t>
  </si>
  <si>
    <t>508 White Mission Apt. 893
Bryantborough, WV 79111</t>
  </si>
  <si>
    <t>East Williamburgh</t>
  </si>
  <si>
    <t>001-909-021-4559</t>
  </si>
  <si>
    <t>Parker, Flores and Jennings</t>
  </si>
  <si>
    <t>117 Jasmine Isle Apt. 604
South Ryanville, MN 41933</t>
  </si>
  <si>
    <t>Nicolefort</t>
  </si>
  <si>
    <t>(516)626-8840</t>
  </si>
  <si>
    <t>Nguyen-Tran</t>
  </si>
  <si>
    <t>65833 Anthony Ridges
Williamsmouth, IA 42157</t>
  </si>
  <si>
    <t>Garciamouth</t>
  </si>
  <si>
    <t>+1-899-619-4557x62932</t>
  </si>
  <si>
    <t>Valdez-Diaz</t>
  </si>
  <si>
    <t>03142 Jones Trail Suite 601
Walkerton, AL 61502</t>
  </si>
  <si>
    <t>West Theresaberg</t>
  </si>
  <si>
    <t>(046)544-9977</t>
  </si>
  <si>
    <t>Brown and Sons</t>
  </si>
  <si>
    <t>1745 Chan Ridges
Ginaville, OK 07163</t>
  </si>
  <si>
    <t>West Vanessafort</t>
  </si>
  <si>
    <t>018-471-0550x16593</t>
  </si>
  <si>
    <t>355 Rogers Ferry Suite 116
East Stevenburgh, MD 93961</t>
  </si>
  <si>
    <t>West Dawn</t>
  </si>
  <si>
    <t>(876)537-9861x93433</t>
  </si>
  <si>
    <t>Edwards-Turner</t>
  </si>
  <si>
    <t>277 Ashley Wall Suite 063
Kimberlyshire, SC 60998</t>
  </si>
  <si>
    <t>Cassandraville</t>
  </si>
  <si>
    <t>361.706.6889x42826</t>
  </si>
  <si>
    <t>Davis Ltd</t>
  </si>
  <si>
    <t>USCGC Taylor
FPO AA 68109</t>
  </si>
  <si>
    <t>South Melanieshire</t>
  </si>
  <si>
    <t>117-624-9394x3533</t>
  </si>
  <si>
    <t>Drake-Martinez</t>
  </si>
  <si>
    <t>22920 Carpenter Turnpike Apt. 652
New Steven, AR 33177</t>
  </si>
  <si>
    <t>East Samantha</t>
  </si>
  <si>
    <t>001-454-212-3510x6135</t>
  </si>
  <si>
    <t>Cross Group</t>
  </si>
  <si>
    <t>802 Daniel Highway
Lake Sabrinamouth, DE 52427</t>
  </si>
  <si>
    <t>Port Corystad</t>
  </si>
  <si>
    <t>(170)989-9040x1296</t>
  </si>
  <si>
    <t>Miller-Carter</t>
  </si>
  <si>
    <t>44329 Hendrix Land
Port Christine, AL 43242</t>
  </si>
  <si>
    <t>Port Lisamouth</t>
  </si>
  <si>
    <t>Johnson Ltd</t>
  </si>
  <si>
    <t>32366 Kathy Fall
Rodriguezton, NH 27984</t>
  </si>
  <si>
    <t>Bradleyborough</t>
  </si>
  <si>
    <t>916.509.1396x4499</t>
  </si>
  <si>
    <t>Black, Collins and Richard</t>
  </si>
  <si>
    <t>643 Galvan Burgs
Fletcherhaven, AZ 86988</t>
  </si>
  <si>
    <t>Hestermouth</t>
  </si>
  <si>
    <t>266.040.9664x08185</t>
  </si>
  <si>
    <t>Gutierrez-Palmer</t>
  </si>
  <si>
    <t>019 Avila Station
Lake Dennisborough, AZ 84988</t>
  </si>
  <si>
    <t>Anitashire</t>
  </si>
  <si>
    <t>(155)292-7832x2085</t>
  </si>
  <si>
    <t>Hansen Inc</t>
  </si>
  <si>
    <t>9402 Corey Avenue
Jamesland, AL 54220</t>
  </si>
  <si>
    <t>West Adammouth</t>
  </si>
  <si>
    <t>464-311-2342</t>
  </si>
  <si>
    <t>Lester Inc</t>
  </si>
  <si>
    <t>3187 Brittany Overpass Suite 160
Lake Elizabeth, CO 63236</t>
  </si>
  <si>
    <t>New Natasha</t>
  </si>
  <si>
    <t>001-037-031-5899x7076</t>
  </si>
  <si>
    <t>Wright Ltd</t>
  </si>
  <si>
    <t>69921 Sullivan Manor Apt. 996
Russellport, ME 99724</t>
  </si>
  <si>
    <t>Jessestad</t>
  </si>
  <si>
    <t>850-175-4730</t>
  </si>
  <si>
    <t>Andrews-Wiley</t>
  </si>
  <si>
    <t>37741 Edward Green Apt. 840
Whiteport, WY 68558</t>
  </si>
  <si>
    <t>Patrickmouth</t>
  </si>
  <si>
    <t>+1-657-214-6013x08444</t>
  </si>
  <si>
    <t>Rodriguez PLC</t>
  </si>
  <si>
    <t>88798 Dustin Lane Suite 892
Port Jessicaville, KY 16461</t>
  </si>
  <si>
    <t>West Pamelaborough</t>
  </si>
  <si>
    <t>(227)080-4918x858</t>
  </si>
  <si>
    <t>Thompson-Kerr</t>
  </si>
  <si>
    <t>123 Barber Divide
New Stephanie, KY 35738</t>
  </si>
  <si>
    <t>South Kellyberg</t>
  </si>
  <si>
    <t>(786)641-7043</t>
  </si>
  <si>
    <t>Lawrence PLC</t>
  </si>
  <si>
    <t>35759 Baker Center
East Allisonville, WA 47206</t>
  </si>
  <si>
    <t>Jameschester</t>
  </si>
  <si>
    <t>+1-161-540-1127x4461</t>
  </si>
  <si>
    <t>Miranda, Wilcox and Short</t>
  </si>
  <si>
    <t>208 Williams Fields Suite 324
New Robert, MN 13700</t>
  </si>
  <si>
    <t>Janetborough</t>
  </si>
  <si>
    <t>711.136.4426</t>
  </si>
  <si>
    <t>Cooper, Smith and King</t>
  </si>
  <si>
    <t>439 Barnes Courts Apt. 349
South Gregory, MO 73315</t>
  </si>
  <si>
    <t>North Garybury</t>
  </si>
  <si>
    <t>+1-812-193-0704x61726</t>
  </si>
  <si>
    <t>Nguyen-Parsons</t>
  </si>
  <si>
    <t>23683 Paul Groves Suite 174
Vegaville, IA 58578</t>
  </si>
  <si>
    <t>Andersonmouth</t>
  </si>
  <si>
    <t>(638)668-6852</t>
  </si>
  <si>
    <t>Powell Inc</t>
  </si>
  <si>
    <t>7278 Jesse Fall
Mitchellfort, SD 79576</t>
  </si>
  <si>
    <t>Cindyshire</t>
  </si>
  <si>
    <t>668-319-5716</t>
  </si>
  <si>
    <t>Phelps-Schmidt</t>
  </si>
  <si>
    <t>689 Riley Villages
South Jose, LA 55827</t>
  </si>
  <si>
    <t>New Amanda</t>
  </si>
  <si>
    <t>001-048-886-1039</t>
  </si>
  <si>
    <t>Lawrence LLC</t>
  </si>
  <si>
    <t>USNS Decker
FPO AE 46703</t>
  </si>
  <si>
    <t>Perkinsbury</t>
  </si>
  <si>
    <t>580-888-5964</t>
  </si>
  <si>
    <t>Fernandez-Bridges</t>
  </si>
  <si>
    <t>77717 Amanda Plains Apt. 231
Danielberg, CA 13392</t>
  </si>
  <si>
    <t>Brittanyville</t>
  </si>
  <si>
    <t>001-714-175-0277x076</t>
  </si>
  <si>
    <t>Robinson PLC</t>
  </si>
  <si>
    <t>59437 Schneider Villages Suite 050
South Derek, NM 07539</t>
  </si>
  <si>
    <t>Jennifertown</t>
  </si>
  <si>
    <t>925-882-9055</t>
  </si>
  <si>
    <t>Kelly-Ware</t>
  </si>
  <si>
    <t>482 Bush Island
Wrightburgh, MI 64397</t>
  </si>
  <si>
    <t>Bentleyburgh</t>
  </si>
  <si>
    <t>(033)969-7445x782</t>
  </si>
  <si>
    <t>Austin-Yu</t>
  </si>
  <si>
    <t>482 Lisa Viaduct
Shirleyberg, IL 95427</t>
  </si>
  <si>
    <t>East Nicholasbury</t>
  </si>
  <si>
    <t>+1-392-878-0666x94428</t>
  </si>
  <si>
    <t>Martinez, Johnson and Torres</t>
  </si>
  <si>
    <t>66956 Carter Lakes Apt. 029
New Matthewview, OK 90573</t>
  </si>
  <si>
    <t>South Karen</t>
  </si>
  <si>
    <t>250.919.8579</t>
  </si>
  <si>
    <t>Torres-Perez</t>
  </si>
  <si>
    <t>9114 Becky Junctions
Hillhaven, WV 14750</t>
  </si>
  <si>
    <t>Jamesville</t>
  </si>
  <si>
    <t>(264)170-0478x03197</t>
  </si>
  <si>
    <t>Butler, Kennedy and Cowan</t>
  </si>
  <si>
    <t>Unit 7100 Box 9890
DPO AP 52163</t>
  </si>
  <si>
    <t>East Deniseborough</t>
  </si>
  <si>
    <t>(704)033-6760x72290</t>
  </si>
  <si>
    <t>Fisher, Hernandez and Webster</t>
  </si>
  <si>
    <t>8490 Valdez Ports Suite 007
Port Jeremy, NV 85800</t>
  </si>
  <si>
    <t>South Lisaberg</t>
  </si>
  <si>
    <t>871-801-8397x99626</t>
  </si>
  <si>
    <t>Wong-Reese</t>
  </si>
  <si>
    <t>9078 Jeffrey Drive Suite 439
Lake Jasonberg, RI 48655</t>
  </si>
  <si>
    <t>East Andrewland</t>
  </si>
  <si>
    <t>483-625-4097</t>
  </si>
  <si>
    <t>Conway-Barr</t>
  </si>
  <si>
    <t>597 Contreras Roads
South Hannah, RI 04553</t>
  </si>
  <si>
    <t>Timothyview</t>
  </si>
  <si>
    <t>+1-820-339-5162x911</t>
  </si>
  <si>
    <t>Miller, Braun and Graham</t>
  </si>
  <si>
    <t>USS Roberts
FPO AE 04254</t>
  </si>
  <si>
    <t>Lake Traceyburgh</t>
  </si>
  <si>
    <t>001-704-201-5818x1702</t>
  </si>
  <si>
    <t>Perez-Williams</t>
  </si>
  <si>
    <t>956 Joseph Ford Apt. 098
Moorestad, LA 74730</t>
  </si>
  <si>
    <t>West Danielborough</t>
  </si>
  <si>
    <t>(305)890-2191x91055</t>
  </si>
  <si>
    <t>Shaw Inc</t>
  </si>
  <si>
    <t>163 Kenneth Lake
Gentrystad, IN 23606</t>
  </si>
  <si>
    <t>Rebeccabury</t>
  </si>
  <si>
    <t>Buck-Carey</t>
  </si>
  <si>
    <t>3155 Strickland Lakes
Nelsonview, MN 90401</t>
  </si>
  <si>
    <t>Port Dianaberg</t>
  </si>
  <si>
    <t>+1-163-218-3619x58525</t>
  </si>
  <si>
    <t>Wolfe and Sons</t>
  </si>
  <si>
    <t>5146 Robbins Spring
Danielshire, NY 94988</t>
  </si>
  <si>
    <t>Lake Allen</t>
  </si>
  <si>
    <t>001-187-914-3723x273</t>
  </si>
  <si>
    <t>Bennett, Phillips and Green</t>
  </si>
  <si>
    <t>Unit 0882 Box 8764
DPO AE 00627</t>
  </si>
  <si>
    <t>Lake Rachael</t>
  </si>
  <si>
    <t>001-350-580-0382x854</t>
  </si>
  <si>
    <t>Wilson-Brown</t>
  </si>
  <si>
    <t>220 Rachel Trace
Port Mark, AK 17083</t>
  </si>
  <si>
    <t>Danachester</t>
  </si>
  <si>
    <t>001-473-163-6196x2386</t>
  </si>
  <si>
    <t>Morris Ltd</t>
  </si>
  <si>
    <t>03207 Paul Shoals
Thomasshire, AR 89205</t>
  </si>
  <si>
    <t>Michaelview</t>
  </si>
  <si>
    <t>654-751-2531x515</t>
  </si>
  <si>
    <t>Cook Group</t>
  </si>
  <si>
    <t>6432 Guzman Estates
Lake Rebeccaborough, CA 35184</t>
  </si>
  <si>
    <t>Port Robin</t>
  </si>
  <si>
    <t>983-295-7995</t>
  </si>
  <si>
    <t>Martin, Tyler and Wilkerson</t>
  </si>
  <si>
    <t>334 Bishop Fort Suite 958
Port Jorge, NM 10652</t>
  </si>
  <si>
    <t>North Kevinhaven</t>
  </si>
  <si>
    <t>+1-287-799-5933x17852</t>
  </si>
  <si>
    <t>Warner, White and Morris</t>
  </si>
  <si>
    <t>92097 Simmons Cape
Arthurchester, AL 44273</t>
  </si>
  <si>
    <t>Marissaville</t>
  </si>
  <si>
    <t>001-947-280-2490</t>
  </si>
  <si>
    <t>Parker-Campbell</t>
  </si>
  <si>
    <t>USNS Williams
FPO AE 15960</t>
  </si>
  <si>
    <t>Wilsonport</t>
  </si>
  <si>
    <t>(006)958-8829x497</t>
  </si>
  <si>
    <t>Arnold, Russo and Foster</t>
  </si>
  <si>
    <t>PSC 8521, Box 0417
APO AP 22766</t>
  </si>
  <si>
    <t>Lake Joelshire</t>
  </si>
  <si>
    <t>(717)564-9426x4690</t>
  </si>
  <si>
    <t>Mitchell, Campbell and Jones</t>
  </si>
  <si>
    <t>760 Hall Dam
Jenniferstad, MI 28752</t>
  </si>
  <si>
    <t>Marymouth</t>
  </si>
  <si>
    <t>001-356-024-1560x512</t>
  </si>
  <si>
    <t>Fuller, Vincent and Fernandez</t>
  </si>
  <si>
    <t>Unit 8327 Box 2560
DPO AP 34781</t>
  </si>
  <si>
    <t>Mcclainfurt</t>
  </si>
  <si>
    <t>(268)645-8829</t>
  </si>
  <si>
    <t>Mullen LLC</t>
  </si>
  <si>
    <t>373 Moody Manor
Johnfurt, CT 63966</t>
  </si>
  <si>
    <t>South Michaelhaven</t>
  </si>
  <si>
    <t>001-134-811-5840x300</t>
  </si>
  <si>
    <t>Fletcher Inc</t>
  </si>
  <si>
    <t>5294 William Underpass
North Angelaborough, TN 26906</t>
  </si>
  <si>
    <t>Lake Raymondton</t>
  </si>
  <si>
    <t>Lambert-Wilson</t>
  </si>
  <si>
    <t>2162 Johnson Field
East Caroline, AZ 13953</t>
  </si>
  <si>
    <t>Lake Michaelfurt</t>
  </si>
  <si>
    <t>+1-552-690-1512x083</t>
  </si>
  <si>
    <t>Shannon Ltd</t>
  </si>
  <si>
    <t>8692 Adam Passage
Davidland, WI 15372</t>
  </si>
  <si>
    <t>Kentland</t>
  </si>
  <si>
    <t>401-441-2366x8513</t>
  </si>
  <si>
    <t>Sherman-Wolfe</t>
  </si>
  <si>
    <t>0312 Garcia Ferry
Port Deannaberg, DC 72769</t>
  </si>
  <si>
    <t>North Elizabeth</t>
  </si>
  <si>
    <t>001-797-628-1681x740</t>
  </si>
  <si>
    <t>Williams PLC</t>
  </si>
  <si>
    <t>Unit 6990 Box 6326
DPO AA 08563</t>
  </si>
  <si>
    <t>Cummingstown</t>
  </si>
  <si>
    <t>001-683-268-4210x77233</t>
  </si>
  <si>
    <t>Cook, Stanley and Wallace</t>
  </si>
  <si>
    <t>1492 Thomas Route
East Hannah, HI 37830</t>
  </si>
  <si>
    <t>Lake Kyle</t>
  </si>
  <si>
    <t>001-416-322-9367</t>
  </si>
  <si>
    <t>Jones-Edwards</t>
  </si>
  <si>
    <t>861 Martinez Junctions
Smithburgh, WA 68091</t>
  </si>
  <si>
    <t>Ruizmouth</t>
  </si>
  <si>
    <t>(077)105-8283</t>
  </si>
  <si>
    <t>Ward, Shepherd and Krause</t>
  </si>
  <si>
    <t>224 Burns Camp
Christopherborough, VA 76601</t>
  </si>
  <si>
    <t>Jasonstad</t>
  </si>
  <si>
    <t>Walker-Richards</t>
  </si>
  <si>
    <t>082 Nancy Summit Apt. 187
Hurleychester, PA 09363</t>
  </si>
  <si>
    <t>West Benjamin</t>
  </si>
  <si>
    <t>Johnston Ltd</t>
  </si>
  <si>
    <t>58406 Pamela Mission
Leestad, OH 88592</t>
  </si>
  <si>
    <t>Belindaville</t>
  </si>
  <si>
    <t>Douglas PLC</t>
  </si>
  <si>
    <t>130 Lowe Cove Suite 161
South John, LA 62264</t>
  </si>
  <si>
    <t>Rodneystad</t>
  </si>
  <si>
    <t>Clark-Estes</t>
  </si>
  <si>
    <t>1854 Michael Locks Suite 076
Shaneland, AZ 73210</t>
  </si>
  <si>
    <t>Port Amandamouth</t>
  </si>
  <si>
    <t>001-879-812-0126x19146</t>
  </si>
  <si>
    <t>Golden-Phillips</t>
  </si>
  <si>
    <t>25069 Ramirez Springs Suite 233
West Jamestown, IL 50100</t>
  </si>
  <si>
    <t>New Rhonda</t>
  </si>
  <si>
    <t>113.900.7657</t>
  </si>
  <si>
    <t>Frazier LLC</t>
  </si>
  <si>
    <t>115 Danielle Oval Apt. 679
Port Jessica, AZ 21218</t>
  </si>
  <si>
    <t>North Susan</t>
  </si>
  <si>
    <t>Holmes Inc</t>
  </si>
  <si>
    <t>USS Le
FPO AP 30394</t>
  </si>
  <si>
    <t>West Danieltown</t>
  </si>
  <si>
    <t>935-374-2399x9900</t>
  </si>
  <si>
    <t>Miller-Moore</t>
  </si>
  <si>
    <t>1920 Jody Burg
Danaview, NY 16941</t>
  </si>
  <si>
    <t>Lake Dennischester</t>
  </si>
  <si>
    <t>427-783-4717x76277</t>
  </si>
  <si>
    <t>Harris Ltd</t>
  </si>
  <si>
    <t>70117 Danielle Plaza
Bartonview, NV 38788</t>
  </si>
  <si>
    <t>North Michelle</t>
  </si>
  <si>
    <t>508-454-9947x38541</t>
  </si>
  <si>
    <t>Carey-Richardson</t>
  </si>
  <si>
    <t>352 Moore Greens Suite 745
Deborahtown, NV 83580</t>
  </si>
  <si>
    <t>West Lauraborough</t>
  </si>
  <si>
    <t>468.906.0755x92529</t>
  </si>
  <si>
    <t>Owens-Williams</t>
  </si>
  <si>
    <t>USCGC Farrell
FPO AA 90914</t>
  </si>
  <si>
    <t>West Julianburgh</t>
  </si>
  <si>
    <t>(719)090-0487x482</t>
  </si>
  <si>
    <t>Atkins Group</t>
  </si>
  <si>
    <t>2205 Sharp Junction Suite 771
Drakefurt, KY 14437</t>
  </si>
  <si>
    <t>Marthaside</t>
  </si>
  <si>
    <t>+1-318-669-6985x63710</t>
  </si>
  <si>
    <t>Larson Ltd</t>
  </si>
  <si>
    <t>335 Roberts Neck Apt. 867
Samanthaborough, RI 60340</t>
  </si>
  <si>
    <t>Christopherstad</t>
  </si>
  <si>
    <t>370.601.0512x89954</t>
  </si>
  <si>
    <t>Murphy-Boyd</t>
  </si>
  <si>
    <t>7105 James Overpass
Wilsonberg, NC 47111</t>
  </si>
  <si>
    <t>New Michelle</t>
  </si>
  <si>
    <t>387-962-7399x435</t>
  </si>
  <si>
    <t>Young, Townsend and Mccarthy</t>
  </si>
  <si>
    <t>4577 Shannon Tunnel Suite 786
Jamesview, CT 96322</t>
  </si>
  <si>
    <t>West Adam</t>
  </si>
  <si>
    <t>001-286-579-2810x1913</t>
  </si>
  <si>
    <t>Oliver, Williams and Rich</t>
  </si>
  <si>
    <t>2297 Dunlap Plains
South Shannon, MT 97282</t>
  </si>
  <si>
    <t>Salastown</t>
  </si>
  <si>
    <t>+1-509-255-9684x4064</t>
  </si>
  <si>
    <t>Stewart-Page</t>
  </si>
  <si>
    <t>8433 Villegas Tunnel Suite 183
Lake Sarahview, UT 79121</t>
  </si>
  <si>
    <t>New Richard</t>
  </si>
  <si>
    <t>(816)752-7440x258</t>
  </si>
  <si>
    <t>Miller Group</t>
  </si>
  <si>
    <t>8851 Powell Cliffs Apt. 635
South Michael, MO 83778</t>
  </si>
  <si>
    <t>Lake Kristentown</t>
  </si>
  <si>
    <t>001-311-806-0098x37361</t>
  </si>
  <si>
    <t>Rivera LLC</t>
  </si>
  <si>
    <t>4769 Mark Curve
Sparksstad, OR 98308</t>
  </si>
  <si>
    <t>North Ronaldburgh</t>
  </si>
  <si>
    <t>(812)838-6129x912</t>
  </si>
  <si>
    <t>Cruz-Day</t>
  </si>
  <si>
    <t>98104 Goodman Extension
Smithport, PA 37878</t>
  </si>
  <si>
    <t>East Melissa</t>
  </si>
  <si>
    <t>266.982.5975</t>
  </si>
  <si>
    <t>Davis, Vaughan and Shepherd</t>
  </si>
  <si>
    <t>89992 Quinn Plain Apt. 912
North Laura, IN 05742</t>
  </si>
  <si>
    <t>New Daniel</t>
  </si>
  <si>
    <t>(147)151-2023x6618</t>
  </si>
  <si>
    <t>Cuevas, Smith and Rowe</t>
  </si>
  <si>
    <t>7503 Mclaughlin Crescent Suite 498
Davismouth, DE 08450</t>
  </si>
  <si>
    <t>Brennanstad</t>
  </si>
  <si>
    <t>(286)671-0956</t>
  </si>
  <si>
    <t>Orr Inc</t>
  </si>
  <si>
    <t>5940 Klein Junctions
Jenniferborough, PA 44116</t>
  </si>
  <si>
    <t>Christinaland</t>
  </si>
  <si>
    <t>Pierce, Walsh and Rogers</t>
  </si>
  <si>
    <t>8840 Edwards Square Suite 343
Kimside, NE 41307</t>
  </si>
  <si>
    <t>Deborahland</t>
  </si>
  <si>
    <t>+1-065-024-5251x529</t>
  </si>
  <si>
    <t>King-Snyder</t>
  </si>
  <si>
    <t>615 Barnett Circles
Jamesfort, CT 76455</t>
  </si>
  <si>
    <t>Reyesshire</t>
  </si>
  <si>
    <t>+1-494-177-0520x17816</t>
  </si>
  <si>
    <t>Hogan-Johnston</t>
  </si>
  <si>
    <t>00006 Amy Wall Apt. 134
Zimmermanborough, PA 57869</t>
  </si>
  <si>
    <t>Gardnerfort</t>
  </si>
  <si>
    <t>184-472-6932</t>
  </si>
  <si>
    <t>Walsh-Day</t>
  </si>
  <si>
    <t>815 Mary Via
Allenborough, LA 80578</t>
  </si>
  <si>
    <t>South Louis</t>
  </si>
  <si>
    <t>(385)387-5081</t>
  </si>
  <si>
    <t>Greene-Garcia</t>
  </si>
  <si>
    <t>USS Smith
FPO AE 39123</t>
  </si>
  <si>
    <t>Mooreview</t>
  </si>
  <si>
    <t>155.846.6299</t>
  </si>
  <si>
    <t>Chambers-Waters</t>
  </si>
  <si>
    <t>56762 Kimberly Light Suite 474
Matthewmouth, UT 45275</t>
  </si>
  <si>
    <t>East Angelafort</t>
  </si>
  <si>
    <t>001-230-322-3448x38934</t>
  </si>
  <si>
    <t>Hester, Bowers and Carpenter</t>
  </si>
  <si>
    <t>913 Jennifer Mountain Suite 645
Burnsborough, VT 02798</t>
  </si>
  <si>
    <t>West Samantha</t>
  </si>
  <si>
    <t>+1-699-911-5500x712</t>
  </si>
  <si>
    <t>Russell-Summers</t>
  </si>
  <si>
    <t>84247 Emily Fords Apt. 478
North Michael, RI 76457</t>
  </si>
  <si>
    <t>Port Michaelshire</t>
  </si>
  <si>
    <t>314-232-3936x08469</t>
  </si>
  <si>
    <t>Jackson LLC</t>
  </si>
  <si>
    <t>254 Brandon Lodge
Michaelton, NE 66307</t>
  </si>
  <si>
    <t>Lake Theresa</t>
  </si>
  <si>
    <t>001-488-905-7389</t>
  </si>
  <si>
    <t>Carr-Schaefer</t>
  </si>
  <si>
    <t>67643 Matthews Club
East Jennifer, ID 54291</t>
  </si>
  <si>
    <t>Davidchester</t>
  </si>
  <si>
    <t>156-951-3996x201</t>
  </si>
  <si>
    <t>Moreno Group</t>
  </si>
  <si>
    <t>6631 Guerra Ramp Apt. 479
Valeriefort, SC 39501</t>
  </si>
  <si>
    <t>Lopezmouth</t>
  </si>
  <si>
    <t>431.153.2913x530</t>
  </si>
  <si>
    <t>Pollard, Tyler and Davis</t>
  </si>
  <si>
    <t>120 Johnson Mountains
New Daniel, WI 58864</t>
  </si>
  <si>
    <t>Williams-Cox</t>
  </si>
  <si>
    <t>400 Ross Radial
Francomouth, MT 80264</t>
  </si>
  <si>
    <t>East Austin</t>
  </si>
  <si>
    <t>082.114.2329</t>
  </si>
  <si>
    <t>Powell, Norton and James</t>
  </si>
  <si>
    <t>0621 Nixon Ridge
New Ryanton, WV 87834</t>
  </si>
  <si>
    <t>North Carmen</t>
  </si>
  <si>
    <t>(816)856-0766x22957</t>
  </si>
  <si>
    <t>Figueroa-Soto</t>
  </si>
  <si>
    <t>113 Donna Pass
Port Michaelchester, NE 39187</t>
  </si>
  <si>
    <t>South Kellyville</t>
  </si>
  <si>
    <t>(599)442-0494</t>
  </si>
  <si>
    <t>Ball-Church</t>
  </si>
  <si>
    <t>096 Robin Walks Suite 454
Foxburgh, NC 51501</t>
  </si>
  <si>
    <t>South Davidside</t>
  </si>
  <si>
    <t>(352)764-4709</t>
  </si>
  <si>
    <t>Webb, Graves and Harrison</t>
  </si>
  <si>
    <t>3538 Fields Vista Suite 058
West Sonya, IN 53745</t>
  </si>
  <si>
    <t>East Courtneymouth</t>
  </si>
  <si>
    <t>935.714.9134x34359</t>
  </si>
  <si>
    <t>Anderson, Nicholson and Bruce</t>
  </si>
  <si>
    <t>8546 James Fields Apt. 534
Hallborough, AL 55990</t>
  </si>
  <si>
    <t>East Elizabethberg</t>
  </si>
  <si>
    <t>+1-274-720-0033x1795</t>
  </si>
  <si>
    <t>Barnett-Graves</t>
  </si>
  <si>
    <t>748 Reilly Mission Apt. 036
Aguilarfurt, NM 08053</t>
  </si>
  <si>
    <t>Lake Katherinechester</t>
  </si>
  <si>
    <t>(409)027-9923x1761</t>
  </si>
  <si>
    <t>Wells-Davis</t>
  </si>
  <si>
    <t>16029 Lisa Junctions
Port Mary, AZ 64519</t>
  </si>
  <si>
    <t>Floresville</t>
  </si>
  <si>
    <t>322.221.0619x89960</t>
  </si>
  <si>
    <t>Mcdaniel-Morales</t>
  </si>
  <si>
    <t>683 Damon Groves
Port Michael, NE 84293</t>
  </si>
  <si>
    <t>Moseshaven</t>
  </si>
  <si>
    <t>001-702-836-3122</t>
  </si>
  <si>
    <t>Morales, Wood and Cox</t>
  </si>
  <si>
    <t>046 Madeline Plain Apt. 669
Smithbury, MS 53261</t>
  </si>
  <si>
    <t>Amberton</t>
  </si>
  <si>
    <t>468.025.0721x72227</t>
  </si>
  <si>
    <t>Evans-Harrison</t>
  </si>
  <si>
    <t>2430 Michael Branch
Lake Brian, CA 67262</t>
  </si>
  <si>
    <t>Lake Joseph</t>
  </si>
  <si>
    <t>066.832.7189x65581</t>
  </si>
  <si>
    <t>Yates-Mills</t>
  </si>
  <si>
    <t>PSC 9917, Box 2733
APO AE 68445</t>
  </si>
  <si>
    <t>Port Kathleen</t>
  </si>
  <si>
    <t>(954)085-0479</t>
  </si>
  <si>
    <t>Burns-Davis</t>
  </si>
  <si>
    <t>100 Jill Trail Suite 664
Danielmouth, TX 62651</t>
  </si>
  <si>
    <t>New Lisa</t>
  </si>
  <si>
    <t>+1-749-554-2482x64065</t>
  </si>
  <si>
    <t>Glover Inc</t>
  </si>
  <si>
    <t>75912 Brett Parks
West Lawrenceburgh, TN 53383</t>
  </si>
  <si>
    <t>South Kelly</t>
  </si>
  <si>
    <t>(769)689-5964x20301</t>
  </si>
  <si>
    <t>Mosley-Hernandez</t>
  </si>
  <si>
    <t>02866 John Causeway
Markberg, RI 91177</t>
  </si>
  <si>
    <t>Tyronebury</t>
  </si>
  <si>
    <t>+1-477-159-2443x576</t>
  </si>
  <si>
    <t>Stephens-Stephens</t>
  </si>
  <si>
    <t>794 Horne Track Apt. 542
East Mariaport, AK 95122</t>
  </si>
  <si>
    <t>East Meganfort</t>
  </si>
  <si>
    <t>+1-970-818-8098x124</t>
  </si>
  <si>
    <t>Allen, Zimmerman and Harrington</t>
  </si>
  <si>
    <t>PSC 7915, Box 6921
APO AE 81937</t>
  </si>
  <si>
    <t>Lake Shelby</t>
  </si>
  <si>
    <t>832-646-1114x86947</t>
  </si>
  <si>
    <t>Brown-Grimes</t>
  </si>
  <si>
    <t>71570 Jason Spurs Apt. 697
Melissaton, ID 56125</t>
  </si>
  <si>
    <t>Lake April</t>
  </si>
  <si>
    <t>492-029-0285x3479</t>
  </si>
  <si>
    <t>Jackson, Gonzalez and Smith</t>
  </si>
  <si>
    <t>99197 Jensen Inlet
Juliaside, AK 27283</t>
  </si>
  <si>
    <t>New Rodneyville</t>
  </si>
  <si>
    <t>(590)652-0264x4365</t>
  </si>
  <si>
    <t>Vasquez LLC</t>
  </si>
  <si>
    <t>70060 Chelsea Trace Suite 180
Lopezburgh, AR 16869</t>
  </si>
  <si>
    <t>Jasonland</t>
  </si>
  <si>
    <t>731.947.3123</t>
  </si>
  <si>
    <t>Martinez-Downs</t>
  </si>
  <si>
    <t>38440 Jonathan Pine Suite 612
Millshaven, CO 77071</t>
  </si>
  <si>
    <t>Port Mariefort</t>
  </si>
  <si>
    <t>+1-736-853-1037x942</t>
  </si>
  <si>
    <t>Hicks Ltd</t>
  </si>
  <si>
    <t>4349 Michael Fort
South Melissa, ND 26423</t>
  </si>
  <si>
    <t>Port Emily</t>
  </si>
  <si>
    <t>510.799.8149x819</t>
  </si>
  <si>
    <t>Nelson-Tran</t>
  </si>
  <si>
    <t>Unit 6111 Box 7557
DPO AA 52174</t>
  </si>
  <si>
    <t>Spencer, Martin and Romero</t>
  </si>
  <si>
    <t>42751 Jose Junction Suite 390
New Johnnyberg, MS 26952</t>
  </si>
  <si>
    <t>Scottton</t>
  </si>
  <si>
    <t>333.579.4749x45469</t>
  </si>
  <si>
    <t>Walker-Knox</t>
  </si>
  <si>
    <t>353 Donald Tunnel Apt. 330
Fisherview, IA 09906</t>
  </si>
  <si>
    <t>Huntermouth</t>
  </si>
  <si>
    <t>+1-787-557-7905x551</t>
  </si>
  <si>
    <t>Baker LLC</t>
  </si>
  <si>
    <t>881 Thomas Valleys Apt. 842
South Danielleland, OR 09264</t>
  </si>
  <si>
    <t>South Michaelberg</t>
  </si>
  <si>
    <t>423-570-5106</t>
  </si>
  <si>
    <t>Cook Ltd</t>
  </si>
  <si>
    <t>15130 Parker Hill
Adkinsville, MN 48860</t>
  </si>
  <si>
    <t>West Melissa</t>
  </si>
  <si>
    <t>(340)959-7188x4581</t>
  </si>
  <si>
    <t>Dyer Group</t>
  </si>
  <si>
    <t>601 Kent Mills Apt. 098
New Robertstad, NY 73393</t>
  </si>
  <si>
    <t>East Candace</t>
  </si>
  <si>
    <t>906.900.1026</t>
  </si>
  <si>
    <t>Gordon, Davis and Gonzalez</t>
  </si>
  <si>
    <t>48332 Richard Radial
South Christinafurt, MS 38651</t>
  </si>
  <si>
    <t>Lamberttown</t>
  </si>
  <si>
    <t>001-549-717-7006x7763</t>
  </si>
  <si>
    <t>Pena and Sons</t>
  </si>
  <si>
    <t>48061 Thomas Mission
Stephensmouth, NC 22128</t>
  </si>
  <si>
    <t>East Alexisberg</t>
  </si>
  <si>
    <t>351-759-9512</t>
  </si>
  <si>
    <t>Jones, Rojas and Brown</t>
  </si>
  <si>
    <t>3671 Hansen Loaf
Port Nicholas, VT 97420</t>
  </si>
  <si>
    <t>North Sherrimouth</t>
  </si>
  <si>
    <t>490.519.3490x03679</t>
  </si>
  <si>
    <t>Johnson-Ray</t>
  </si>
  <si>
    <t>3639 Jones Brooks
South Matthew, VA 33223</t>
  </si>
  <si>
    <t>Port Connie</t>
  </si>
  <si>
    <t>294.692.7978x3473</t>
  </si>
  <si>
    <t>Zhang LLC</t>
  </si>
  <si>
    <t>6343 Sanders Park Suite 844
Port Brendaton, FL 49650</t>
  </si>
  <si>
    <t>Watsonstad</t>
  </si>
  <si>
    <t>001-943-679-8869x4358</t>
  </si>
  <si>
    <t>03072 Stephen Terrace Suite 003
Lake Brandon, TX 93484</t>
  </si>
  <si>
    <t>Port Manuel</t>
  </si>
  <si>
    <t>001-338-962-9433x726</t>
  </si>
  <si>
    <t>Myers, Kelley and Riley</t>
  </si>
  <si>
    <t>374 Murray Run
Port Sarahview, CA 10295</t>
  </si>
  <si>
    <t>Mitchellmouth</t>
  </si>
  <si>
    <t>001-912-865-5943x9580</t>
  </si>
  <si>
    <t>Luna, Padilla and Torres</t>
  </si>
  <si>
    <t>7550 Kevin Inlet Suite 004
Roweton, CT 19578</t>
  </si>
  <si>
    <t>Samuelville</t>
  </si>
  <si>
    <t>Johnson, Harris and White</t>
  </si>
  <si>
    <t>PSC 5814, Box 9023
APO AA 76560</t>
  </si>
  <si>
    <t>Bellport</t>
  </si>
  <si>
    <t>293-470-3464x6698</t>
  </si>
  <si>
    <t>Rice-Woods</t>
  </si>
  <si>
    <t>802 Young Ramp Suite 344
Port Amy, HI 07296</t>
  </si>
  <si>
    <t>Kayleefort</t>
  </si>
  <si>
    <t>+1-180-785-3704x622</t>
  </si>
  <si>
    <t>Hampton-Lee</t>
  </si>
  <si>
    <t>994 Maxwell Squares Apt. 136
Browninghaven, IA 33077</t>
  </si>
  <si>
    <t>Jonathanhaven</t>
  </si>
  <si>
    <t>663-119-2623x961</t>
  </si>
  <si>
    <t>Nguyen-Shaffer</t>
  </si>
  <si>
    <t>538 Charles Unions
Port Jessica, MD 31072</t>
  </si>
  <si>
    <t>West Trevorview</t>
  </si>
  <si>
    <t>040.258.9118</t>
  </si>
  <si>
    <t>Perry, Cabrera and Owens</t>
  </si>
  <si>
    <t>97775 Rice Forks
Johnsontown, RI 35006</t>
  </si>
  <si>
    <t>Annahaven</t>
  </si>
  <si>
    <t>626-321-0040x18014</t>
  </si>
  <si>
    <t>Lee LLC</t>
  </si>
  <si>
    <t>0886 Smith Glen
Duncanmouth, AL 18583</t>
  </si>
  <si>
    <t>North Amber</t>
  </si>
  <si>
    <t>010-809-0806x17359</t>
  </si>
  <si>
    <t>Powers, Clark and Snyder</t>
  </si>
  <si>
    <t>8675 Reed Crest Suite 904
West Wendyborough, ID 45874</t>
  </si>
  <si>
    <t>North Jamesberg</t>
  </si>
  <si>
    <t>531-341-5220x02539</t>
  </si>
  <si>
    <t>Butler-Newman</t>
  </si>
  <si>
    <t>531 Christine Plains Apt. 814
New Randall, GA 19091</t>
  </si>
  <si>
    <t>Anthonyshire</t>
  </si>
  <si>
    <t>+1-832-258-6208x585</t>
  </si>
  <si>
    <t>Rogers-Shaw</t>
  </si>
  <si>
    <t>39253 David Common
West Tyler, NC 21196</t>
  </si>
  <si>
    <t>South Jacobport</t>
  </si>
  <si>
    <t>001-522-305-5977x0080</t>
  </si>
  <si>
    <t>Wu LLC</t>
  </si>
  <si>
    <t>439 Oscar Mountains Suite 426
Lake Markmouth, MI 84788</t>
  </si>
  <si>
    <t>Hawkinsmouth</t>
  </si>
  <si>
    <t>350.191.5139x454</t>
  </si>
  <si>
    <t>Smith-Turner</t>
  </si>
  <si>
    <t>574 Jamie Mountains Apt. 480
North Timothy, CA 92067</t>
  </si>
  <si>
    <t>New John</t>
  </si>
  <si>
    <t>001-084-709-0706x311</t>
  </si>
  <si>
    <t>Bennett-Parker</t>
  </si>
  <si>
    <t>17497 Michelle Path
New Mariamouth, UT 32031</t>
  </si>
  <si>
    <t>Charlesview</t>
  </si>
  <si>
    <t>(773)966-1784</t>
  </si>
  <si>
    <t>Johnson-Thompson</t>
  </si>
  <si>
    <t>920 Todd Points Apt. 224
Elliottstad, ID 85406</t>
  </si>
  <si>
    <t>West Carolyn</t>
  </si>
  <si>
    <t>239.163.9415</t>
  </si>
  <si>
    <t>Rodriguez, Walker and Singleton</t>
  </si>
  <si>
    <t>3006 Fernandez Ferry
Jamesview, KS 30878</t>
  </si>
  <si>
    <t>Bairdfort</t>
  </si>
  <si>
    <t>998.166.5324</t>
  </si>
  <si>
    <t>Shepherd Group</t>
  </si>
  <si>
    <t>922 Nicole Neck
Lake Danaton, ID 65819</t>
  </si>
  <si>
    <t>North Crystal</t>
  </si>
  <si>
    <t>001-796-831-6588</t>
  </si>
  <si>
    <t>Wagner, Cole and Thompson</t>
  </si>
  <si>
    <t>201 Hopkins Lakes
Johnberg, ND 15611</t>
  </si>
  <si>
    <t>North Brooke</t>
  </si>
  <si>
    <t>+1-555-595-6288x290</t>
  </si>
  <si>
    <t>Baker, Warren and Kirk</t>
  </si>
  <si>
    <t>PSC 7617, Box 0188
APO AP 36602</t>
  </si>
  <si>
    <t>Port Loganberg</t>
  </si>
  <si>
    <t>001-687-777-6746x1515</t>
  </si>
  <si>
    <t>Campbell LLC</t>
  </si>
  <si>
    <t>8423 Karen Trace Apt. 648
Johnland, IA 21810</t>
  </si>
  <si>
    <t>Perezport</t>
  </si>
  <si>
    <t>001-211-446-3315x74760</t>
  </si>
  <si>
    <t>Moore, Perez and Young</t>
  </si>
  <si>
    <t>48313 Taylor Junctions Apt. 845
Petersborough, VT 51814</t>
  </si>
  <si>
    <t>Penabury</t>
  </si>
  <si>
    <t>345.405.3372x9178</t>
  </si>
  <si>
    <t>Jackson-Bishop</t>
  </si>
  <si>
    <t>1596 Romero Ports
Lake Jennifermouth, ME 52335</t>
  </si>
  <si>
    <t>Annetteburgh</t>
  </si>
  <si>
    <t>Yu-Rodriguez</t>
  </si>
  <si>
    <t>144 Armstrong Viaduct Apt. 561
East Ericchester, UT 19438</t>
  </si>
  <si>
    <t>Sylviabury</t>
  </si>
  <si>
    <t>017.590.2372</t>
  </si>
  <si>
    <t>Silva Group</t>
  </si>
  <si>
    <t>1541 Tara Forge
Mathisshire, DE 61123</t>
  </si>
  <si>
    <t>Copelandchester</t>
  </si>
  <si>
    <t>King, Smith and Mullen</t>
  </si>
  <si>
    <t>9022 Harrington Path
Susanport, SD 73387</t>
  </si>
  <si>
    <t>Lake Donaldmouth</t>
  </si>
  <si>
    <t>497-136-9598x5778</t>
  </si>
  <si>
    <t>Thompson-Turner</t>
  </si>
  <si>
    <t>995 Campbell Mount Suite 129
Graytown, MN 23216</t>
  </si>
  <si>
    <t>Davidport</t>
  </si>
  <si>
    <t>897-925-4252</t>
  </si>
  <si>
    <t>Miller, Williams and Lewis</t>
  </si>
  <si>
    <t>69419 Michele Trail Apt. 911
Valdezville, NY 53308</t>
  </si>
  <si>
    <t>Wardton</t>
  </si>
  <si>
    <t>565.035.8798x7950</t>
  </si>
  <si>
    <t>Hines-Green</t>
  </si>
  <si>
    <t>121 Monica Loaf
Charlesshire, MO 59196</t>
  </si>
  <si>
    <t>Lindseyland</t>
  </si>
  <si>
    <t>(054)626-5986x842</t>
  </si>
  <si>
    <t>Peters, Chase and Davis</t>
  </si>
  <si>
    <t>015 Steven Crossing Suite 882
Lake Brendaborough, WV 97596</t>
  </si>
  <si>
    <t>North Brentbury</t>
  </si>
  <si>
    <t>+1-813-008-8889x184</t>
  </si>
  <si>
    <t>Jones, Delgado and Marquez</t>
  </si>
  <si>
    <t>67180 Christopher Parks Suite 702
Whitestad, MI 84109</t>
  </si>
  <si>
    <t>Williammouth</t>
  </si>
  <si>
    <t>(186)605-0066</t>
  </si>
  <si>
    <t>Parker, Macdonald and Espinoza</t>
  </si>
  <si>
    <t>708 Jones Estates Suite 598
Lake Samuel, RI 75975</t>
  </si>
  <si>
    <t>Garciaside</t>
  </si>
  <si>
    <t>776-066-7306x648</t>
  </si>
  <si>
    <t>Greene Group</t>
  </si>
  <si>
    <t>645 Acosta Circle Suite 351
Staceyburgh, TN 64114</t>
  </si>
  <si>
    <t>Myerschester</t>
  </si>
  <si>
    <t>552-231-5655x057</t>
  </si>
  <si>
    <t>Gillespie, Foster and Boyd</t>
  </si>
  <si>
    <t>Unit 1730 Box 5566
DPO AA 26190</t>
  </si>
  <si>
    <t>North Carolfurt</t>
  </si>
  <si>
    <t>001-862-502-0221x7258</t>
  </si>
  <si>
    <t>Olson Ltd</t>
  </si>
  <si>
    <t>45318 Delgado Junctions Apt. 756
Jamesburgh, IA 92476</t>
  </si>
  <si>
    <t>Katherinefurt</t>
  </si>
  <si>
    <t>Allen-Mccullough</t>
  </si>
  <si>
    <t>3715 White Gardens Apt. 568
South Sarah, AK 76176</t>
  </si>
  <si>
    <t>East John</t>
  </si>
  <si>
    <t>Turner-Ramirez</t>
  </si>
  <si>
    <t>53362 Woods Viaduct Apt. 059
Ronaldview, SC 94816</t>
  </si>
  <si>
    <t>South Nicholasville</t>
  </si>
  <si>
    <t>679.699.5497</t>
  </si>
  <si>
    <t>Mcbride-Rogers</t>
  </si>
  <si>
    <t>4742 Fischer Club Apt. 161
West Carrieview, WA 33065</t>
  </si>
  <si>
    <t>Scottchester</t>
  </si>
  <si>
    <t>820.665.7265x01138</t>
  </si>
  <si>
    <t>Lucas, Bush and Miller</t>
  </si>
  <si>
    <t>4664 Debra Row Apt. 580
Lake Stephen, TX 87375</t>
  </si>
  <si>
    <t>Deleon, Guzman and Porter</t>
  </si>
  <si>
    <t>94721 Schultz Neck Apt. 864
South Evanland, WI 88166</t>
  </si>
  <si>
    <t>South Jeffrey</t>
  </si>
  <si>
    <t>Black, Montgomery and Hernandez</t>
  </si>
  <si>
    <t>118 Karen Fields
West Angelaport, GA 22035</t>
  </si>
  <si>
    <t>Taylormouth</t>
  </si>
  <si>
    <t>001-763-656-6801x10211</t>
  </si>
  <si>
    <t>Wilson-Ortiz</t>
  </si>
  <si>
    <t>Unit 2603 Box 7875
DPO AP 30589</t>
  </si>
  <si>
    <t>Port Jeffrey</t>
  </si>
  <si>
    <t>(345)889-2010</t>
  </si>
  <si>
    <t>Elliott-Stephens</t>
  </si>
  <si>
    <t>240 Brian Circle Apt. 335
Morrowfurt, KS 49845</t>
  </si>
  <si>
    <t>South Anne</t>
  </si>
  <si>
    <t>(416)071-3611x991</t>
  </si>
  <si>
    <t>Norris-Townsend</t>
  </si>
  <si>
    <t>1117 Doyle Locks
West Aaron, MO 08423</t>
  </si>
  <si>
    <t>Velazquezview</t>
  </si>
  <si>
    <t>(630)461-1996x59800</t>
  </si>
  <si>
    <t>Horn, Johnson and Moore</t>
  </si>
  <si>
    <t>886 Tammy Mills
Stevensshire, VA 03285</t>
  </si>
  <si>
    <t>Shirleyland</t>
  </si>
  <si>
    <t>596.993.2969x47891</t>
  </si>
  <si>
    <t>Garner PLC</t>
  </si>
  <si>
    <t>90840 Edgar Light Suite 091
Lake Caseyberg, IA 64520</t>
  </si>
  <si>
    <t>Evansmouth</t>
  </si>
  <si>
    <t>(112)902-8389</t>
  </si>
  <si>
    <t>Collins, Williams and Fernandez</t>
  </si>
  <si>
    <t>947 Sara Heights
North Brandi, CO 23438</t>
  </si>
  <si>
    <t>Port Robert</t>
  </si>
  <si>
    <t>001-950-129-4358x2246</t>
  </si>
  <si>
    <t>Brown Ltd</t>
  </si>
  <si>
    <t>3165 Luis Heights
Port Brandonview, OK 04929</t>
  </si>
  <si>
    <t>Courtneychester</t>
  </si>
  <si>
    <t>Blackwell Ltd</t>
  </si>
  <si>
    <t>829 Allen Bridge
West Karenburgh, ND 61533</t>
  </si>
  <si>
    <t>Brianside</t>
  </si>
  <si>
    <t>(604)057-1444x583</t>
  </si>
  <si>
    <t>Elliott-Mcguire</t>
  </si>
  <si>
    <t>447 Haynes Causeway Suite 347
Smithburgh, WA 40545</t>
  </si>
  <si>
    <t>Barkerborough</t>
  </si>
  <si>
    <t>409-311-5468</t>
  </si>
  <si>
    <t>Grant-Davis</t>
  </si>
  <si>
    <t>6946 Shaffer Viaduct Apt. 909
Lisabury, LA 90232</t>
  </si>
  <si>
    <t>Lake Jessicamouth</t>
  </si>
  <si>
    <t>+1-672-949-7621x738</t>
  </si>
  <si>
    <t>Hunter, Ballard and Caldwell</t>
  </si>
  <si>
    <t>60550 Fleming Branch Suite 560
Jessicashire, UT 62403</t>
  </si>
  <si>
    <t>Leslieville</t>
  </si>
  <si>
    <t>001-594-592-2116x9925</t>
  </si>
  <si>
    <t>Chung, Morris and Craig</t>
  </si>
  <si>
    <t>310 Steven Overpass Apt. 402
Paulside, NM 92478</t>
  </si>
  <si>
    <t>North Lisaland</t>
  </si>
  <si>
    <t>001-981-892-0136x674</t>
  </si>
  <si>
    <t>Lambert-Gonzalez</t>
  </si>
  <si>
    <t>77389 Flores Fort
Scottchester, ME 77945</t>
  </si>
  <si>
    <t>Lake Josephton</t>
  </si>
  <si>
    <t>001-150-754-9757x0704</t>
  </si>
  <si>
    <t>Williams-Strong</t>
  </si>
  <si>
    <t>712 Johnson Squares
Johnburgh, IN 34833</t>
  </si>
  <si>
    <t>Justinhaven</t>
  </si>
  <si>
    <t>935.536.1144</t>
  </si>
  <si>
    <t>Owens-Taylor</t>
  </si>
  <si>
    <t>553 Emily Mountains Suite 339
East Mary, MI 74272</t>
  </si>
  <si>
    <t>Bartonborough</t>
  </si>
  <si>
    <t>+1-977-169-9906x1607</t>
  </si>
  <si>
    <t>Dodson and Sons</t>
  </si>
  <si>
    <t>390 Ramirez Port
Port Julieton, LA 28323</t>
  </si>
  <si>
    <t>New David</t>
  </si>
  <si>
    <t>642-655-6122x732</t>
  </si>
  <si>
    <t>Bowman LLC</t>
  </si>
  <si>
    <t>70033 Katie Walk
South Joshuaport, NY 57110</t>
  </si>
  <si>
    <t>Port Karen</t>
  </si>
  <si>
    <t>(890)877-4218x852</t>
  </si>
  <si>
    <t>Clark, Evans and Navarro</t>
  </si>
  <si>
    <t>1567 Rice Route
Mcbrideton, SD 00586</t>
  </si>
  <si>
    <t>Christinamouth</t>
  </si>
  <si>
    <t>+1-260-408-7633x914</t>
  </si>
  <si>
    <t>Turner-Woods</t>
  </si>
  <si>
    <t>413 Abigail Park Suite 737
North Heather, VA 59882</t>
  </si>
  <si>
    <t>Bradleyport</t>
  </si>
  <si>
    <t>+1-498-827-6905x7873</t>
  </si>
  <si>
    <t>Ramirez LLC</t>
  </si>
  <si>
    <t>1488 Cook Ports
South Lindsay, WI 06937</t>
  </si>
  <si>
    <t>Sandrastad</t>
  </si>
  <si>
    <t>001-916-437-4521x821</t>
  </si>
  <si>
    <t>Graham-Peters</t>
  </si>
  <si>
    <t>72444 Dennis Centers Apt. 058
East Sarahton, NM 90794</t>
  </si>
  <si>
    <t>Vazquezshire</t>
  </si>
  <si>
    <t>+1-491-368-1719x38393</t>
  </si>
  <si>
    <t>Bass-Sellers</t>
  </si>
  <si>
    <t>807 Brewer Highway Suite 080
Christophermouth, MO 25526</t>
  </si>
  <si>
    <t>Port Christina</t>
  </si>
  <si>
    <t>689-429-9060x47456</t>
  </si>
  <si>
    <t>Lyons Inc</t>
  </si>
  <si>
    <t>0820 Christopher Dale
Angelamouth, GA 29905</t>
  </si>
  <si>
    <t>Lake Lauraton</t>
  </si>
  <si>
    <t>127.959.5462x8745</t>
  </si>
  <si>
    <t>Thompson Group</t>
  </si>
  <si>
    <t>81499 Baker Valley Suite 876
Wheelerview, CT 20385</t>
  </si>
  <si>
    <t>Carlbury</t>
  </si>
  <si>
    <t>858-115-6375x26624</t>
  </si>
  <si>
    <t>Yoder-Murray</t>
  </si>
  <si>
    <t>Unit 6112 Box 2655
DPO AP 68074</t>
  </si>
  <si>
    <t>Port Emilyburgh</t>
  </si>
  <si>
    <t>001-593-330-4216x5945</t>
  </si>
  <si>
    <t>Walters, Jackson and Webster</t>
  </si>
  <si>
    <t>88321 William Glens Apt. 368
New Anthony, IN 56413</t>
  </si>
  <si>
    <t>North Ronaldmouth</t>
  </si>
  <si>
    <t>505-482-7536x693</t>
  </si>
  <si>
    <t>Miller, Johnson and Fernandez</t>
  </si>
  <si>
    <t>228 Kathryn Mountains Suite 986
Cortezmouth, IA 90538</t>
  </si>
  <si>
    <t>East Garyton</t>
  </si>
  <si>
    <t>985.790.0081x8718</t>
  </si>
  <si>
    <t>Hubbard, Clark and Hicks</t>
  </si>
  <si>
    <t>77599 Ruiz Stream
South Brianburgh, DC 12695</t>
  </si>
  <si>
    <t>South Cassandra</t>
  </si>
  <si>
    <t>272-502-0028</t>
  </si>
  <si>
    <t>Jones-Miller</t>
  </si>
  <si>
    <t>8892 Patrick Shoals
Tristanfort, OH 00576</t>
  </si>
  <si>
    <t>Paulmouth</t>
  </si>
  <si>
    <t>028-684-5516x43547</t>
  </si>
  <si>
    <t>Anderson, Patrick and Scott</t>
  </si>
  <si>
    <t>03198 Washington Ferry Suite 086
South Amberside, GA 92116</t>
  </si>
  <si>
    <t>Lake James</t>
  </si>
  <si>
    <t>Dennis, Parker and Sanchez</t>
  </si>
  <si>
    <t>456 Nelson Street
Ericside, NH 82097</t>
  </si>
  <si>
    <t>Port Markview</t>
  </si>
  <si>
    <t>921-065-5873x078</t>
  </si>
  <si>
    <t>Anderson, Robinson and Phillips</t>
  </si>
  <si>
    <t>687 Bell Knoll Suite 015
West Bryan, OR 07413</t>
  </si>
  <si>
    <t>Andersonville</t>
  </si>
  <si>
    <t>Kelley PLC</t>
  </si>
  <si>
    <t>Unit 3990 Box 8289
DPO AE 64562</t>
  </si>
  <si>
    <t>Jamesview</t>
  </si>
  <si>
    <t>942.961.3748x773</t>
  </si>
  <si>
    <t>Simmons Ltd</t>
  </si>
  <si>
    <t>6249 Michelle Islands Apt. 374
West Heather, VT 67074</t>
  </si>
  <si>
    <t>New Curtis</t>
  </si>
  <si>
    <t>(219)975-7084</t>
  </si>
  <si>
    <t>Potter, Brown and Torres</t>
  </si>
  <si>
    <t>54122 Wayne Ville Suite 760
East Kellyview, OH 61069</t>
  </si>
  <si>
    <t>Tylerburgh</t>
  </si>
  <si>
    <t>231-909-9113x65369</t>
  </si>
  <si>
    <t>Williams Ltd</t>
  </si>
  <si>
    <t>89168 Fisher Brooks Suite 220
North Kevinville, TN 96538</t>
  </si>
  <si>
    <t>Mooremouth</t>
  </si>
  <si>
    <t>Aguilar and Sons</t>
  </si>
  <si>
    <t>68882 Rebecca Islands
East Virginiamouth, SD 49728</t>
  </si>
  <si>
    <t>Lake Chloeshire</t>
  </si>
  <si>
    <t>(793)316-0706</t>
  </si>
  <si>
    <t>Rivera-Nelson</t>
  </si>
  <si>
    <t>141 Ingram Ferry
Carlsonport, SC 09759</t>
  </si>
  <si>
    <t>East Stephanie</t>
  </si>
  <si>
    <t>+1-335-588-5454x314</t>
  </si>
  <si>
    <t>Robinson and Sons</t>
  </si>
  <si>
    <t>95830 Watts Isle
Traviston, WA 96014</t>
  </si>
  <si>
    <t>West Stephaniemouth</t>
  </si>
  <si>
    <t>+1-900-879-1636x908</t>
  </si>
  <si>
    <t>Richardson Group</t>
  </si>
  <si>
    <t>48378 Morris Pines Apt. 216
Port Williamville, MD 62944</t>
  </si>
  <si>
    <t>Walterborough</t>
  </si>
  <si>
    <t>(924)099-7995</t>
  </si>
  <si>
    <t>Tran, Douglas and Harvey</t>
  </si>
  <si>
    <t>5607 Ernest Summit
South Petertown, MS 89142</t>
  </si>
  <si>
    <t>Stephanieberg</t>
  </si>
  <si>
    <t>(015)911-4687x4992</t>
  </si>
  <si>
    <t>Hodges and Sons</t>
  </si>
  <si>
    <t>7970 Robinson Field
Salinaschester, CT 85213</t>
  </si>
  <si>
    <t>Longland</t>
  </si>
  <si>
    <t>504.107.9130</t>
  </si>
  <si>
    <t>Hughes-Jackson</t>
  </si>
  <si>
    <t>66899 Johnson Crescent
New Gregoryland, CO 53101</t>
  </si>
  <si>
    <t>East Lindsayville</t>
  </si>
  <si>
    <t>998-292-0906</t>
  </si>
  <si>
    <t>Stevens-Rogers</t>
  </si>
  <si>
    <t>59277 Adam Station
West Justin, DE 07549</t>
  </si>
  <si>
    <t>West Kenneth</t>
  </si>
  <si>
    <t>+1-708-348-4200x729</t>
  </si>
  <si>
    <t>Hart PLC</t>
  </si>
  <si>
    <t>47794 Mccoy Shores
Jacksonfort, OR 28670</t>
  </si>
  <si>
    <t>South Thomas</t>
  </si>
  <si>
    <t>647.576.5079x307</t>
  </si>
  <si>
    <t>Morse-Hoffman</t>
  </si>
  <si>
    <t>677 Jenna Village
Port Rhonda, OK 56596</t>
  </si>
  <si>
    <t>Derekport</t>
  </si>
  <si>
    <t>(440)514-8820x3017</t>
  </si>
  <si>
    <t>Stewart-Soto</t>
  </si>
  <si>
    <t>71892 Robinson Common
Harrisfurt, DC 31479</t>
  </si>
  <si>
    <t>Andrewsmouth</t>
  </si>
  <si>
    <t>(828)634-0022x45412</t>
  </si>
  <si>
    <t>Thompson Ltd</t>
  </si>
  <si>
    <t>213 Mitchell Port
East Craig, IA 36277</t>
  </si>
  <si>
    <t>Gonzalesport</t>
  </si>
  <si>
    <t>+1-570-095-8264x37944</t>
  </si>
  <si>
    <t>Phelps-Robbins</t>
  </si>
  <si>
    <t>00248 Hamilton Ferry Suite 310
New Larry, DE 83903</t>
  </si>
  <si>
    <t>North Melanie</t>
  </si>
  <si>
    <t>Jackson-Robinson</t>
  </si>
  <si>
    <t>2416 Gray Route Apt. 246
Boydland, AL 93137</t>
  </si>
  <si>
    <t>North Tom</t>
  </si>
  <si>
    <t>001-341-741-8533</t>
  </si>
  <si>
    <t>Snyder, Caldwell and Campbell</t>
  </si>
  <si>
    <t>652 Williams Mount
Jonesstad, WI 51744</t>
  </si>
  <si>
    <t>Muellermouth</t>
  </si>
  <si>
    <t>001-204-401-6159x495</t>
  </si>
  <si>
    <t>Jones-Wu</t>
  </si>
  <si>
    <t>PSC 9721, Box 2253
APO AA 34031</t>
  </si>
  <si>
    <t>South Morganfurt</t>
  </si>
  <si>
    <t>744-909-5102x39344</t>
  </si>
  <si>
    <t>Sherman-Baker</t>
  </si>
  <si>
    <t>07362 Kimberly Village Suite 643
Andersonton, VA 24172</t>
  </si>
  <si>
    <t>New Joel</t>
  </si>
  <si>
    <t>301.017.1427</t>
  </si>
  <si>
    <t>Gutierrez LLC</t>
  </si>
  <si>
    <t>310 Myers Neck
Richardtown, WA 29671</t>
  </si>
  <si>
    <t>Gutierrezshire</t>
  </si>
  <si>
    <t>+1-544-924-8841x926</t>
  </si>
  <si>
    <t>Singleton, Andrews and Bell</t>
  </si>
  <si>
    <t>431 John Coves
Mariaside, WA 13977</t>
  </si>
  <si>
    <t>Jeffreyburgh</t>
  </si>
  <si>
    <t>(773)180-8829</t>
  </si>
  <si>
    <t>White, Crawford and Pearson</t>
  </si>
  <si>
    <t>4785 Felicia Circle Suite 239
North Melissa, KY 96802</t>
  </si>
  <si>
    <t>Frederickside</t>
  </si>
  <si>
    <t>958.016.7653x7393</t>
  </si>
  <si>
    <t>Decker Group</t>
  </si>
  <si>
    <t>4464 Charles Creek
Sanchezborough, GA 09107</t>
  </si>
  <si>
    <t>North Julieburgh</t>
  </si>
  <si>
    <t>+1-152-318-5664x8137</t>
  </si>
  <si>
    <t>Simpson, Thomas and Smith</t>
  </si>
  <si>
    <t>204 Charles Viaduct
Perezfurt, WV 57676</t>
  </si>
  <si>
    <t>South Bradleyburgh</t>
  </si>
  <si>
    <t>001-117-114-7043</t>
  </si>
  <si>
    <t>Marshall Ltd</t>
  </si>
  <si>
    <t>30050 Christine Square Apt. 097
Kingfort, KS 26841</t>
  </si>
  <si>
    <t>Andreaborough</t>
  </si>
  <si>
    <t>+1-314-339-0357x53136</t>
  </si>
  <si>
    <t>Harper, Blake and Alexander</t>
  </si>
  <si>
    <t>882 Smith Heights
East Cherylborough, DC 06299</t>
  </si>
  <si>
    <t>Devinmouth</t>
  </si>
  <si>
    <t>(144)381-3923</t>
  </si>
  <si>
    <t>Aguilar-Frederick</t>
  </si>
  <si>
    <t>6353 Chad Circles
Brewerland, NM 53897</t>
  </si>
  <si>
    <t>Michaelport</t>
  </si>
  <si>
    <t>Davis-Hurley</t>
  </si>
  <si>
    <t>687 Sparks Forks
East Patricia, NC 25546</t>
  </si>
  <si>
    <t>West Catherine</t>
  </si>
  <si>
    <t>(172)389-0239x87614</t>
  </si>
  <si>
    <t>Chan-Elliott</t>
  </si>
  <si>
    <t>16644 Kelli Spur
Gregoryville, SC 80630</t>
  </si>
  <si>
    <t>Toddberg</t>
  </si>
  <si>
    <t>021-322-3933x46620</t>
  </si>
  <si>
    <t>Williams and Sons</t>
  </si>
  <si>
    <t>8921 Juan Ville
New Monicashire, MD 92426</t>
  </si>
  <si>
    <t>Lake Heather</t>
  </si>
  <si>
    <t>+1-279-007-2137x9870</t>
  </si>
  <si>
    <t>Robinson Group</t>
  </si>
  <si>
    <t>212 Kelly Station Apt. 790
North Amandafurt, MA 37113</t>
  </si>
  <si>
    <t>East Stephanieview</t>
  </si>
  <si>
    <t>195-943-0311x0414</t>
  </si>
  <si>
    <t>Shepherd-Yates</t>
  </si>
  <si>
    <t>973 Garner Mews
Peggymouth, MO 33680</t>
  </si>
  <si>
    <t>Port Aaron</t>
  </si>
  <si>
    <t>477-819-1257x990</t>
  </si>
  <si>
    <t>Oliver, Cross and Gilbert</t>
  </si>
  <si>
    <t>USS Mcintyre
FPO AA 76857</t>
  </si>
  <si>
    <t>South Michellechester</t>
  </si>
  <si>
    <t>001-607-614-4871x9620</t>
  </si>
  <si>
    <t>Davis, Sanchez and Hernandez</t>
  </si>
  <si>
    <t>61204 Christopher Springs
North Kathy, SD 81291</t>
  </si>
  <si>
    <t>Johnsonside</t>
  </si>
  <si>
    <t>452.214.9646x15610</t>
  </si>
  <si>
    <t>Lewis-Peters</t>
  </si>
  <si>
    <t>965 Jesse Course Suite 126
Annabury, RI 51241</t>
  </si>
  <si>
    <t>South Jasmineville</t>
  </si>
  <si>
    <t>864.412.4651x28059</t>
  </si>
  <si>
    <t>Carter-Jones</t>
  </si>
  <si>
    <t>26720 Candace Inlet Suite 052
Hendersonton, MA 30678</t>
  </si>
  <si>
    <t>East Terrancemouth</t>
  </si>
  <si>
    <t>892-412-5796</t>
  </si>
  <si>
    <t>Blair LLC</t>
  </si>
  <si>
    <t>084 Alejandro Ports Apt. 820
Sarahton, LA 54906</t>
  </si>
  <si>
    <t>Phillipsfort</t>
  </si>
  <si>
    <t>(213)522-3298x866</t>
  </si>
  <si>
    <t>Gonzales-Keith</t>
  </si>
  <si>
    <t>4934 Mitchell Lake
Sharonchester, NJ 09163</t>
  </si>
  <si>
    <t>Sharonton</t>
  </si>
  <si>
    <t>986-491-7149x656</t>
  </si>
  <si>
    <t>Huber Group</t>
  </si>
  <si>
    <t>36361 Roger Trail Apt. 099
Ashleybury, MD 98039</t>
  </si>
  <si>
    <t>Reidland</t>
  </si>
  <si>
    <t>001-841-494-8011x4394</t>
  </si>
  <si>
    <t>Chapman, Barrett and Lopez</t>
  </si>
  <si>
    <t>1402 Kimberly Plaza Apt. 787
Katherinetown, OK 71945</t>
  </si>
  <si>
    <t>Crystalborough</t>
  </si>
  <si>
    <t>158-680-9083x1158</t>
  </si>
  <si>
    <t>Hayes Ltd</t>
  </si>
  <si>
    <t>581 Michael Fields Suite 491
East Meganburgh, TX 89090</t>
  </si>
  <si>
    <t>North Nicoleport</t>
  </si>
  <si>
    <t>001-907-009-4281x18158</t>
  </si>
  <si>
    <t>James Group</t>
  </si>
  <si>
    <t>27163 Jennifer Roads
Williamsside, ID 07654</t>
  </si>
  <si>
    <t>Lake Coryhaven</t>
  </si>
  <si>
    <t>001-385-215-0963x215</t>
  </si>
  <si>
    <t>Gonzales-Moore</t>
  </si>
  <si>
    <t>326 Parker Crescent
South Hailey, SD 72035</t>
  </si>
  <si>
    <t>Lake Anthonyport</t>
  </si>
  <si>
    <t>495-926-2302x026</t>
  </si>
  <si>
    <t>Lewis, Pierce and Wilson</t>
  </si>
  <si>
    <t>2950 Daniel Center Suite 368
Danieltown, NJ 69910</t>
  </si>
  <si>
    <t>North Briannabury</t>
  </si>
  <si>
    <t>001-076-665-0771x26410</t>
  </si>
  <si>
    <t>Rice-Dawson</t>
  </si>
  <si>
    <t>9152 John Roads Apt. 986
Curtiston, ID 14419</t>
  </si>
  <si>
    <t>New Samuel</t>
  </si>
  <si>
    <t>(937)981-7733x90321</t>
  </si>
  <si>
    <t>Lopez, Davis and Duncan</t>
  </si>
  <si>
    <t>1779 Zachary Island Suite 743
Santosmouth, IL 00898</t>
  </si>
  <si>
    <t>South Richardhaven</t>
  </si>
  <si>
    <t>424-107-9020</t>
  </si>
  <si>
    <t>Bradford-Martinez</t>
  </si>
  <si>
    <t>366 Wheeler Fields
Harringtonchester, WY 86540</t>
  </si>
  <si>
    <t>New Carol</t>
  </si>
  <si>
    <t>199.451.0254</t>
  </si>
  <si>
    <t>Lutz, Smith and Martin</t>
  </si>
  <si>
    <t>8964 Reed Valleys Suite 413
Davidborough, MA 78474</t>
  </si>
  <si>
    <t>Chambersfort</t>
  </si>
  <si>
    <t>+1-643-647-0236x085</t>
  </si>
  <si>
    <t>Holland and Sons</t>
  </si>
  <si>
    <t>430 Tyler View Apt. 166
South Katherine, TX 04269</t>
  </si>
  <si>
    <t>184-401-2586x9344</t>
  </si>
  <si>
    <t>Simmons-Mcdaniel</t>
  </si>
  <si>
    <t>237 Jason Trail
East Jacobborough, VT 07794</t>
  </si>
  <si>
    <t>New Douglas</t>
  </si>
  <si>
    <t>175-617-1876</t>
  </si>
  <si>
    <t>Thomas-Carpenter</t>
  </si>
  <si>
    <t>0891 Martin Shore Apt. 596
Mcdonaldstad, PA 01987</t>
  </si>
  <si>
    <t>Port Ronaldshire</t>
  </si>
  <si>
    <t>021.908.0322x164</t>
  </si>
  <si>
    <t>Sherman-Garza</t>
  </si>
  <si>
    <t>044 Johnson Brook
Velazquezville, IA 66365</t>
  </si>
  <si>
    <t>Port Kevinburgh</t>
  </si>
  <si>
    <t>(357)159-0029x4117</t>
  </si>
  <si>
    <t>White, Hutchinson and Williams</t>
  </si>
  <si>
    <t>6135 Michael Extension Apt. 708
Brendaborough, MN 18905</t>
  </si>
  <si>
    <t>Nolanmouth</t>
  </si>
  <si>
    <t>655.056.4788x798</t>
  </si>
  <si>
    <t>Jackson and Sons</t>
  </si>
  <si>
    <t>Unit 2891 Box 0702
DPO AP 62264</t>
  </si>
  <si>
    <t>East Caseyfort</t>
  </si>
  <si>
    <t>001-749-533-8145x88455</t>
  </si>
  <si>
    <t>Harrison-Wilson</t>
  </si>
  <si>
    <t>904 Christopher Station
Lake Patriciaborough, AR 56947</t>
  </si>
  <si>
    <t>Cunninghambury</t>
  </si>
  <si>
    <t>269.475.2515</t>
  </si>
  <si>
    <t>Barrera, Jenkins and Boyd</t>
  </si>
  <si>
    <t>0939 Meyer Wells
Lake Jeanne, PA 23420</t>
  </si>
  <si>
    <t>New Jeremyberg</t>
  </si>
  <si>
    <t>(912)706-8422x13941</t>
  </si>
  <si>
    <t>Holland, Parks and Scott</t>
  </si>
  <si>
    <t>031 Sydney Freeway
Cynthiaton, PA 51451</t>
  </si>
  <si>
    <t>Lake Christinaborough</t>
  </si>
  <si>
    <t>+1-260-583-9227x932</t>
  </si>
  <si>
    <t>Hammond LLC</t>
  </si>
  <si>
    <t>7396 Patrick Row
East Roy, UT 18983</t>
  </si>
  <si>
    <t>001-324-482-4894</t>
  </si>
  <si>
    <t>Shields-Moore</t>
  </si>
  <si>
    <t>922 Bailey Overpass Suite 885
New William, VA 50509</t>
  </si>
  <si>
    <t>New Dawnborough</t>
  </si>
  <si>
    <t>Floyd, Jones and Alvarado</t>
  </si>
  <si>
    <t>55399 Bullock Cove Apt. 326
East Latoya, KY 21621</t>
  </si>
  <si>
    <t>Brittanyport</t>
  </si>
  <si>
    <t>106.317.0700x02344</t>
  </si>
  <si>
    <t>Hodge-Leblanc</t>
  </si>
  <si>
    <t>2243 John Squares
Johnburgh, TX 33271</t>
  </si>
  <si>
    <t>Port Eric</t>
  </si>
  <si>
    <t>Ramos and Sons</t>
  </si>
  <si>
    <t>6378 Kendra Greens
East Jacob, IN 59852</t>
  </si>
  <si>
    <t>West Aliciabury</t>
  </si>
  <si>
    <t>Edwards-Ryan</t>
  </si>
  <si>
    <t>259 Valerie Pike Apt. 290
Coffeychester, WV 02293</t>
  </si>
  <si>
    <t>Beasleyhaven</t>
  </si>
  <si>
    <t>Greene, Wood and Hernandez</t>
  </si>
  <si>
    <t>69618 Jacob Stravenue
South Jacobton, OH 42099</t>
  </si>
  <si>
    <t>Garciaport</t>
  </si>
  <si>
    <t>238.551.4657</t>
  </si>
  <si>
    <t>Peck, George and Klein</t>
  </si>
  <si>
    <t>481 Bowman Isle
Michaelbury, CO 60876</t>
  </si>
  <si>
    <t>Coopermouth</t>
  </si>
  <si>
    <t>Davis Inc</t>
  </si>
  <si>
    <t>83459 Allen Causeway Suite 409
Olsonborough, GA 85285</t>
  </si>
  <si>
    <t>Lake Nicolebury</t>
  </si>
  <si>
    <t>432-172-5411x1981</t>
  </si>
  <si>
    <t>Baker, Gardner and Callahan</t>
  </si>
  <si>
    <t>18439 Amanda Field Apt. 333
Mccartymouth, MO 88867</t>
  </si>
  <si>
    <t>Port Gregton</t>
  </si>
  <si>
    <t>520-919-5240</t>
  </si>
  <si>
    <t>Russell-Graham</t>
  </si>
  <si>
    <t>7757 Roy Mountain
Port Emily, KS 36318</t>
  </si>
  <si>
    <t>Andrewstad</t>
  </si>
  <si>
    <t>197-361-9121x02684</t>
  </si>
  <si>
    <t>Cruz Inc</t>
  </si>
  <si>
    <t>96242 Luis Mill
South Jeffrey, PA 65606</t>
  </si>
  <si>
    <t>242.471.4335</t>
  </si>
  <si>
    <t>Sanchez-Fisher</t>
  </si>
  <si>
    <t>77514 Todd Creek Apt. 870
East Ashley, ND 47642</t>
  </si>
  <si>
    <t>West Corey</t>
  </si>
  <si>
    <t>971.803.6233x098</t>
  </si>
  <si>
    <t>Watson-West</t>
  </si>
  <si>
    <t>864 Martinez Valleys Apt. 859
Byrdland, OH 05345</t>
  </si>
  <si>
    <t>Williamschester</t>
  </si>
  <si>
    <t>Carr-Wells</t>
  </si>
  <si>
    <t>202 Castillo Course Suite 667
New Joshua, OK 47311</t>
  </si>
  <si>
    <t>Jefferyside</t>
  </si>
  <si>
    <t>(535)017-9013x9281</t>
  </si>
  <si>
    <t>Carlson-Mathis</t>
  </si>
  <si>
    <t>98491 Matthews Mall
Lake Juantown, NY 51580</t>
  </si>
  <si>
    <t>Maynardstad</t>
  </si>
  <si>
    <t>518.257.3189x434</t>
  </si>
  <si>
    <t>Jenkins-Carpenter</t>
  </si>
  <si>
    <t>9447 Dixon Orchard
Port Jacob, DE 27747</t>
  </si>
  <si>
    <t>Toddstad</t>
  </si>
  <si>
    <t>Webb, Phillips and Garcia</t>
  </si>
  <si>
    <t>09931 Snyder Station Apt. 218
Ritterborough, IL 82418</t>
  </si>
  <si>
    <t>001-401-943-3400</t>
  </si>
  <si>
    <t>Bass-Gay</t>
  </si>
  <si>
    <t>USCGC Perez
FPO AP 05466</t>
  </si>
  <si>
    <t>West Margaretfort</t>
  </si>
  <si>
    <t>064.805.9663</t>
  </si>
  <si>
    <t>Lopez-Duffy</t>
  </si>
  <si>
    <t>PSC 0689, Box 6828
APO AP 21295</t>
  </si>
  <si>
    <t>Mooneybury</t>
  </si>
  <si>
    <t>048.373.4973x79978</t>
  </si>
  <si>
    <t>Ibarra and Sons</t>
  </si>
  <si>
    <t>Unit 2034 Box 3584
DPO AE 66830</t>
  </si>
  <si>
    <t>Joneshaven</t>
  </si>
  <si>
    <t>855-385-3050x223</t>
  </si>
  <si>
    <t>Fitzgerald Group</t>
  </si>
  <si>
    <t>3303 Smith Gardens Suite 639
Jonesberg, WY 23098</t>
  </si>
  <si>
    <t>South Kendra</t>
  </si>
  <si>
    <t>048-163-0381x7780</t>
  </si>
  <si>
    <t>Patterson, Harris and Kelly</t>
  </si>
  <si>
    <t>887 Martinez Spurs
Thorntonshire, WV 04210</t>
  </si>
  <si>
    <t>Meghanfurt</t>
  </si>
  <si>
    <t>Martin PLC</t>
  </si>
  <si>
    <t>3517 Dalton Pike Apt. 053
Meghanside, MT 10430</t>
  </si>
  <si>
    <t>Port Linda</t>
  </si>
  <si>
    <t>001-672-728-8347x500</t>
  </si>
  <si>
    <t>Butler-Cook</t>
  </si>
  <si>
    <t>561 Schmidt Estate
Robertsonton, OK 26803</t>
  </si>
  <si>
    <t>Markberg</t>
  </si>
  <si>
    <t>+1-209-476-5112x24812</t>
  </si>
  <si>
    <t>Mills, Osborne and Dickson</t>
  </si>
  <si>
    <t>05338 Karina Village
Boyerfurt, TX 92321</t>
  </si>
  <si>
    <t>New Steven</t>
  </si>
  <si>
    <t>Riley PLC</t>
  </si>
  <si>
    <t>4036 Scott Course Apt. 174
New Elizabeth, SD 35504</t>
  </si>
  <si>
    <t>Robertton</t>
  </si>
  <si>
    <t>643-573-2130</t>
  </si>
  <si>
    <t>Clarke-Farley</t>
  </si>
  <si>
    <t>9050 Jacob Cape
East Donaldfurt, NY 58115</t>
  </si>
  <si>
    <t>Lake Michaelview</t>
  </si>
  <si>
    <t>(953)723-2621x740</t>
  </si>
  <si>
    <t>Smith, Glover and Mcintyre</t>
  </si>
  <si>
    <t>183 Jessica Island Suite 755
Rebeccafurt, ID 61131</t>
  </si>
  <si>
    <t>East Laurashire</t>
  </si>
  <si>
    <t>(502)012-9123x94085</t>
  </si>
  <si>
    <t>Robertson PLC</t>
  </si>
  <si>
    <t>23699 Garcia Villages Suite 124
South Williamhaven, MT 23890</t>
  </si>
  <si>
    <t>South Tammy</t>
  </si>
  <si>
    <t>100-131-6521</t>
  </si>
  <si>
    <t>PSC 7619, Box 8525
APO AE 61072</t>
  </si>
  <si>
    <t>Tammystad</t>
  </si>
  <si>
    <t>062.226.1859x3237</t>
  </si>
  <si>
    <t>Douglas-Colon</t>
  </si>
  <si>
    <t>30465 Latoya Haven
Hartville, NC 48753</t>
  </si>
  <si>
    <t>Port Marcland</t>
  </si>
  <si>
    <t>439.020.2351</t>
  </si>
  <si>
    <t>Wolfe, Garner and Jones</t>
  </si>
  <si>
    <t>88370 Harris Lock Apt. 882
South Catherine, DE 56707</t>
  </si>
  <si>
    <t>Fullerborough</t>
  </si>
  <si>
    <t>(373)758-7748x038</t>
  </si>
  <si>
    <t>Evans, Wright and Mitchell</t>
  </si>
  <si>
    <t>73725 Anthony Way Apt. 971
West Pamela, OH 61366</t>
  </si>
  <si>
    <t>North Keith</t>
  </si>
  <si>
    <t>001-726-568-9224</t>
  </si>
  <si>
    <t>Gonzalez-Parrish</t>
  </si>
  <si>
    <t>600 Sanchez Meadow
Jessicaview, KY 72375</t>
  </si>
  <si>
    <t>Heathborough</t>
  </si>
  <si>
    <t>164.336.2362x38847</t>
  </si>
  <si>
    <t>Doyle LLC</t>
  </si>
  <si>
    <t>8157 Tammy Road
West Stephenchester, NC 16381</t>
  </si>
  <si>
    <t>Brittanyside</t>
  </si>
  <si>
    <t>Bell, Davis and Hickman</t>
  </si>
  <si>
    <t>4454 Jackson Plaza Apt. 447
Thomasburgh, CT 44776</t>
  </si>
  <si>
    <t>Ambertown</t>
  </si>
  <si>
    <t>+1-754-517-2435x37063</t>
  </si>
  <si>
    <t>Sullivan, Thornton and Peterson</t>
  </si>
  <si>
    <t>1679 John Court
Katherineberg, ID 45885</t>
  </si>
  <si>
    <t>Saraburgh</t>
  </si>
  <si>
    <t>(688)116-5399</t>
  </si>
  <si>
    <t>Fleming Ltd</t>
  </si>
  <si>
    <t>080 Powell Rapid
South John, CO 90063</t>
  </si>
  <si>
    <t>West Amanda</t>
  </si>
  <si>
    <t>(646)465-3368x3676</t>
  </si>
  <si>
    <t>Garcia-Hunter</t>
  </si>
  <si>
    <t>019 Amy Station
South Daniel, MD 51890</t>
  </si>
  <si>
    <t>North Ianbury</t>
  </si>
  <si>
    <t>150-729-4411</t>
  </si>
  <si>
    <t>Maldonado-Davis</t>
  </si>
  <si>
    <t>51547 Desiree Cape Suite 175
Port Benjaminfurt, RI 95290</t>
  </si>
  <si>
    <t>Boylechester</t>
  </si>
  <si>
    <t>Wright-Mcclure</t>
  </si>
  <si>
    <t>569 Laurie Lake
Lake Erikview, WY 06966</t>
  </si>
  <si>
    <t>Rodriguezfurt</t>
  </si>
  <si>
    <t>+1-982-494-3609x2407</t>
  </si>
  <si>
    <t>Nelson LLC</t>
  </si>
  <si>
    <t>773 Frazier Ranch
Kellerbury, GA 32205</t>
  </si>
  <si>
    <t>Lake Andrewmouth</t>
  </si>
  <si>
    <t>+1-859-029-3911x34890</t>
  </si>
  <si>
    <t>Johnson Group</t>
  </si>
  <si>
    <t>0019 Gray Trafficway
North Sara, NC 74122</t>
  </si>
  <si>
    <t>Williamsfort</t>
  </si>
  <si>
    <t>(007)484-4365x34610</t>
  </si>
  <si>
    <t>Parker, Jordan and Thompson</t>
  </si>
  <si>
    <t>536 Steven Isle
Boyleborough, MA 13719</t>
  </si>
  <si>
    <t>South Brandiberg</t>
  </si>
  <si>
    <t>+1-616-367-6583x630</t>
  </si>
  <si>
    <t>Briggs-Stewart</t>
  </si>
  <si>
    <t>86658 Rachael Drive
Port Jennifer, MO 54683</t>
  </si>
  <si>
    <t>Martinezfort</t>
  </si>
  <si>
    <t>(398)927-0621</t>
  </si>
  <si>
    <t>Davila, Green and Avila</t>
  </si>
  <si>
    <t>28646 Tiffany Meadow Apt. 469
Lyonshaven, IA 48088</t>
  </si>
  <si>
    <t>Lake Amymouth</t>
  </si>
  <si>
    <t>Shah Group</t>
  </si>
  <si>
    <t>1654 Singh Roads
Paynehaven, RI 22772</t>
  </si>
  <si>
    <t>Lake Jeffreytown</t>
  </si>
  <si>
    <t>953-840-3880</t>
  </si>
  <si>
    <t>Williams-Boyle</t>
  </si>
  <si>
    <t>09025 Callahan Club
Ramosport, WY 36155</t>
  </si>
  <si>
    <t>North Edwinchester</t>
  </si>
  <si>
    <t>633-782-3532x46627</t>
  </si>
  <si>
    <t>Mayo PLC</t>
  </si>
  <si>
    <t>15094 Kennedy Highway Suite 900
South Michael, MT 31746</t>
  </si>
  <si>
    <t>Mckinneymouth</t>
  </si>
  <si>
    <t>646-258-2814</t>
  </si>
  <si>
    <t>Peters-Johnson</t>
  </si>
  <si>
    <t>6383 Gomez Islands
Sanchezport, IA 35229</t>
  </si>
  <si>
    <t>Jasmineberg</t>
  </si>
  <si>
    <t>106.150.3989x9566</t>
  </si>
  <si>
    <t>Roberts Group</t>
  </si>
  <si>
    <t>160 Sheri Course
Mossfurt, MO 13285</t>
  </si>
  <si>
    <t>East Elizabeth</t>
  </si>
  <si>
    <t>043-467-7558x957</t>
  </si>
  <si>
    <t>Allen and Sons</t>
  </si>
  <si>
    <t>17628 David Plain Suite 137
Port Michaelton, AZ 66272</t>
  </si>
  <si>
    <t>West Tammy</t>
  </si>
  <si>
    <t>370-552-5469x768</t>
  </si>
  <si>
    <t>Bender, Jordan and Bennett</t>
  </si>
  <si>
    <t>635 Herrera Trafficway
Huynhside, CT 11395</t>
  </si>
  <si>
    <t>Lake Alicia</t>
  </si>
  <si>
    <t>001-194-509-7599x83421</t>
  </si>
  <si>
    <t>Miller, Conner and Clark</t>
  </si>
  <si>
    <t>4464 Shaun Plain Suite 161
Sandraview, TN 76190</t>
  </si>
  <si>
    <t>Villaborough</t>
  </si>
  <si>
    <t>+1-075-795-2419x75821</t>
  </si>
  <si>
    <t>Walker, Brennan and Townsend</t>
  </si>
  <si>
    <t>Unit 9379 Box 7124
DPO AP 65325</t>
  </si>
  <si>
    <t>Port Rubenville</t>
  </si>
  <si>
    <t>(194)900-2168</t>
  </si>
  <si>
    <t>Davidson Group</t>
  </si>
  <si>
    <t>1894 Harvey Pike Apt. 102
Davisfort, NE 43626</t>
  </si>
  <si>
    <t>Port Lauraville</t>
  </si>
  <si>
    <t>Holloway-Koch</t>
  </si>
  <si>
    <t>2889 Jorge Fields
South Thomasland, AR 38794</t>
  </si>
  <si>
    <t>Jamesport</t>
  </si>
  <si>
    <t>323.974.7052</t>
  </si>
  <si>
    <t>Edwards, Johnson and Cross</t>
  </si>
  <si>
    <t>5969 Burke Ridges
North Kevinborough, MT 75005</t>
  </si>
  <si>
    <t>South Jeffreyburgh</t>
  </si>
  <si>
    <t>869-227-8515x888</t>
  </si>
  <si>
    <t>Cox LLC</t>
  </si>
  <si>
    <t>406 Lucero Mountain Apt. 736
Mollyport, RI 14316</t>
  </si>
  <si>
    <t>West Whitneymouth</t>
  </si>
  <si>
    <t>001-018-140-2068x875</t>
  </si>
  <si>
    <t>Herrera, Fritz and Banks</t>
  </si>
  <si>
    <t>USCGC Adams
FPO AP 17515</t>
  </si>
  <si>
    <t>Port Heidiland</t>
  </si>
  <si>
    <t>(057)146-9859x95415</t>
  </si>
  <si>
    <t>Cox-Mcintyre</t>
  </si>
  <si>
    <t>85337 King Junction Suite 272
East Nicoleshire, ID 63161</t>
  </si>
  <si>
    <t>South Jillshire</t>
  </si>
  <si>
    <t>(422)450-8076</t>
  </si>
  <si>
    <t>Newman, Pearson and Mccarthy</t>
  </si>
  <si>
    <t>4719 Darryl Isle
New Rebecca, GA 13003</t>
  </si>
  <si>
    <t>North Gary</t>
  </si>
  <si>
    <t>905.549.7068</t>
  </si>
  <si>
    <t>Mckinney LLC</t>
  </si>
  <si>
    <t>52072 Rhonda Flats
Lake Brandon, VA 43437</t>
  </si>
  <si>
    <t>East Sandra</t>
  </si>
  <si>
    <t>(338)059-6636x909</t>
  </si>
  <si>
    <t>Hogan-Oliver</t>
  </si>
  <si>
    <t>03856 Garcia Course Suite 618
New Patriciamouth, DC 05462</t>
  </si>
  <si>
    <t>New Ricky</t>
  </si>
  <si>
    <t>001-484-018-9255x90683</t>
  </si>
  <si>
    <t>Ibarra LLC</t>
  </si>
  <si>
    <t>064 Andrea Land Suite 946
Lake Melody, ME 49581</t>
  </si>
  <si>
    <t>Adambury</t>
  </si>
  <si>
    <t>Palmer and Sons</t>
  </si>
  <si>
    <t>4079 Kathleen Tunnel
Lisastad, NE 35010</t>
  </si>
  <si>
    <t>Barry, Powers and White</t>
  </si>
  <si>
    <t>1145 Justin Light
Richardside, CT 45760</t>
  </si>
  <si>
    <t>Murrayborough</t>
  </si>
  <si>
    <t>(023)817-1166</t>
  </si>
  <si>
    <t>Jenkins-Carrillo</t>
  </si>
  <si>
    <t>656 Denise Spurs Suite 112
Joshuaborough, NY 66307</t>
  </si>
  <si>
    <t>Lake Ryanbury</t>
  </si>
  <si>
    <t>025.332.6781x596</t>
  </si>
  <si>
    <t>Smith Inc</t>
  </si>
  <si>
    <t>00691 Joseph Parks
Matthewville, CO 02023</t>
  </si>
  <si>
    <t>Matthewbury</t>
  </si>
  <si>
    <t>Harris, Perez and Willis</t>
  </si>
  <si>
    <t>549 Moody Road Suite 873
Jacobshire, VT 80966</t>
  </si>
  <si>
    <t>South Christopherborough</t>
  </si>
  <si>
    <t>581-281-6112</t>
  </si>
  <si>
    <t>Mcmillan, Gallegos and Perry</t>
  </si>
  <si>
    <t>4963 Decker Loop Apt. 710
West Karen, MO 17141</t>
  </si>
  <si>
    <t>North Nicholas</t>
  </si>
  <si>
    <t>247-797-3341x5155</t>
  </si>
  <si>
    <t>Mitchell-Watson</t>
  </si>
  <si>
    <t>2215 Jacob Valleys Suite 115
Garcialand, SC 12573</t>
  </si>
  <si>
    <t>North Tracy</t>
  </si>
  <si>
    <t>001-366-677-9015</t>
  </si>
  <si>
    <t>Phillips, Wolfe and Martin</t>
  </si>
  <si>
    <t>Unit 1376 Box 6294
DPO AE 62072</t>
  </si>
  <si>
    <t>Thomasville</t>
  </si>
  <si>
    <t>001-548-413-4962</t>
  </si>
  <si>
    <t>Hood, Hoffman and Wright</t>
  </si>
  <si>
    <t>783 Gonzales Valleys Apt. 115
Alexandrialand, NH 52248</t>
  </si>
  <si>
    <t>Louismouth</t>
  </si>
  <si>
    <t>992.697.3906x31622</t>
  </si>
  <si>
    <t>May and Sons</t>
  </si>
  <si>
    <t>76603 Heather View Apt. 463
East Maureenberg, MI 77494</t>
  </si>
  <si>
    <t>West Ashleytown</t>
  </si>
  <si>
    <t>214.577.9133</t>
  </si>
  <si>
    <t>Walker, Wong and Norris</t>
  </si>
  <si>
    <t>6246 Smith Drives Suite 621
Jamesfurt, CO 01830</t>
  </si>
  <si>
    <t>Valenzuelaville</t>
  </si>
  <si>
    <t>(955)670-0410</t>
  </si>
  <si>
    <t>Scott, Johnson and Villa</t>
  </si>
  <si>
    <t>265 Williams Canyon Suite 869
Port Joseph, AR 44255</t>
  </si>
  <si>
    <t>Port Dustin</t>
  </si>
  <si>
    <t>001-144-195-6495x72650</t>
  </si>
  <si>
    <t>Berry-Mack</t>
  </si>
  <si>
    <t>188 Tamara Crossroad
Lake Melissa, FL 63621</t>
  </si>
  <si>
    <t>South Stefanietown</t>
  </si>
  <si>
    <t>(769)872-1659</t>
  </si>
  <si>
    <t>Strickland LLC</t>
  </si>
  <si>
    <t>2522 Marissa Brook Suite 849
Andersonberg, IL 05110</t>
  </si>
  <si>
    <t>(872)958-7902</t>
  </si>
  <si>
    <t>Rose-Pearson</t>
  </si>
  <si>
    <t>48119 Luna Villages
Cherylfurt, HI 56512</t>
  </si>
  <si>
    <t>North Aaron</t>
  </si>
  <si>
    <t>735.520.0971x89331</t>
  </si>
  <si>
    <t>Rowe-Arias</t>
  </si>
  <si>
    <t>8041 Joseph Shoal Suite 878
North Robertfurt, KY 43667</t>
  </si>
  <si>
    <t>South Alicia</t>
  </si>
  <si>
    <t>090-649-4737</t>
  </si>
  <si>
    <t>64024 Hunter Plaza Apt. 997
Grantstad, NM 06478</t>
  </si>
  <si>
    <t>Port Patrick</t>
  </si>
  <si>
    <t>039-263-2786x611</t>
  </si>
  <si>
    <t>Espinoza PLC</t>
  </si>
  <si>
    <t>410 White Heights
North Todd, ID 25520</t>
  </si>
  <si>
    <t>West Michael</t>
  </si>
  <si>
    <t>(410)539-3296</t>
  </si>
  <si>
    <t>Carey PLC</t>
  </si>
  <si>
    <t>77230 Nicole Row Suite 887
East Joshua, KS 15916</t>
  </si>
  <si>
    <t>Donnaborough</t>
  </si>
  <si>
    <t>001-734-038-0600x959</t>
  </si>
  <si>
    <t>Cole-Ochoa</t>
  </si>
  <si>
    <t>832 Richards Lakes Suite 950
Adambury, MS 43653</t>
  </si>
  <si>
    <t>South Crystalberg</t>
  </si>
  <si>
    <t>001-392-997-5127x129</t>
  </si>
  <si>
    <t>Gonzalez, Tapia and Stewart</t>
  </si>
  <si>
    <t>USS Jacobson
FPO AE 77920</t>
  </si>
  <si>
    <t>North Ashley</t>
  </si>
  <si>
    <t>206-007-4668</t>
  </si>
  <si>
    <t>Clay LLC</t>
  </si>
  <si>
    <t>58290 Keith Hills
West Danielle, UT 38692</t>
  </si>
  <si>
    <t>Butlerview</t>
  </si>
  <si>
    <t>004.834.6521x6955</t>
  </si>
  <si>
    <t>Fleming Group</t>
  </si>
  <si>
    <t>491 Stafford Harbors Apt. 774
Reyesburgh, ID 82774</t>
  </si>
  <si>
    <t>East Lauren</t>
  </si>
  <si>
    <t>218.201.2221</t>
  </si>
  <si>
    <t>Snyder-Gordon</t>
  </si>
  <si>
    <t>952 Browning Port Apt. 921
Sarahhaven, UT 94085</t>
  </si>
  <si>
    <t>Anthonychester</t>
  </si>
  <si>
    <t>134-622-9488</t>
  </si>
  <si>
    <t>Henry-Terry</t>
  </si>
  <si>
    <t>94883 Silva Plaza Apt. 966
North Ericborough, WY 57244</t>
  </si>
  <si>
    <t>East Brittanyland</t>
  </si>
  <si>
    <t>(205)168-6653</t>
  </si>
  <si>
    <t>Reid Ltd</t>
  </si>
  <si>
    <t>94855 Gardner Union Suite 670
Lake Diana, OK 96757</t>
  </si>
  <si>
    <t>Lake Ethanview</t>
  </si>
  <si>
    <t>Bray, Nguyen and Christensen</t>
  </si>
  <si>
    <t>27009 Sheri Forges
Heidiview, AK 10251</t>
  </si>
  <si>
    <t>West Robert</t>
  </si>
  <si>
    <t>589.913.5215x7984</t>
  </si>
  <si>
    <t>Harrell-Hanson</t>
  </si>
  <si>
    <t>660 Anthony Canyon Suite 057
Arnoldchester, MA 72162</t>
  </si>
  <si>
    <t>Devinton</t>
  </si>
  <si>
    <t>Patel and Sons</t>
  </si>
  <si>
    <t>7364 Green Wall Suite 340
Fisherbury, VA 78253</t>
  </si>
  <si>
    <t>Deckermouth</t>
  </si>
  <si>
    <t>+1-731-068-2964x54440</t>
  </si>
  <si>
    <t>Smith-Villegas</t>
  </si>
  <si>
    <t>5916 Craig Courts
New Kevinfurt, MS 57479</t>
  </si>
  <si>
    <t>North Lindseychester</t>
  </si>
  <si>
    <t>001-467-901-7553</t>
  </si>
  <si>
    <t>Weeks, Wood and Sharp</t>
  </si>
  <si>
    <t>4812 Paul Plaza
North Amanda, WI 89597</t>
  </si>
  <si>
    <t>Brownton</t>
  </si>
  <si>
    <t>(200)440-3875</t>
  </si>
  <si>
    <t>Cox-Richmond</t>
  </si>
  <si>
    <t>USNS Ingram
FPO AA 14461</t>
  </si>
  <si>
    <t>Williamsland</t>
  </si>
  <si>
    <t>Montgomery, Dominguez and Hopkins</t>
  </si>
  <si>
    <t>565 Davis Shoals
New James, ND 98971</t>
  </si>
  <si>
    <t>Solisburgh</t>
  </si>
  <si>
    <t>575.394.8230x121</t>
  </si>
  <si>
    <t>Elliott-Jones</t>
  </si>
  <si>
    <t>Unit 8546 Box 6518
DPO AE 36672</t>
  </si>
  <si>
    <t>Lewisberg</t>
  </si>
  <si>
    <t>690.272.6499</t>
  </si>
  <si>
    <t>Avila Group</t>
  </si>
  <si>
    <t>099 Rodriguez Creek
Ronaldport, RI 02598</t>
  </si>
  <si>
    <t>Aprilberg</t>
  </si>
  <si>
    <t>001-835-594-3012x252</t>
  </si>
  <si>
    <t>Pollard, Yoder and Martin</t>
  </si>
  <si>
    <t>3352 Willis Junctions Apt. 432
Lake Pamelaborough, NV 36555</t>
  </si>
  <si>
    <t>Steeleport</t>
  </si>
  <si>
    <t>731-612-0267x787</t>
  </si>
  <si>
    <t>Anderson-Stevens</t>
  </si>
  <si>
    <t>82308 Richard Mall Apt. 824
Joshuafurt, UT 33812</t>
  </si>
  <si>
    <t>New Ryanbury</t>
  </si>
  <si>
    <t>160-803-0342x27712</t>
  </si>
  <si>
    <t>Wilkins-Boyle</t>
  </si>
  <si>
    <t>907 Shawn Lakes Apt. 626
West Benjaminton, AK 55564</t>
  </si>
  <si>
    <t>Lake Sarah</t>
  </si>
  <si>
    <t>352-462-9637x24350</t>
  </si>
  <si>
    <t>Cooper-Gill</t>
  </si>
  <si>
    <t>94711 Tracy Court Apt. 437
Tammyborough, ME 89430</t>
  </si>
  <si>
    <t>West Omar</t>
  </si>
  <si>
    <t>+1-161-221-8545x570</t>
  </si>
  <si>
    <t>Foster Ltd</t>
  </si>
  <si>
    <t>5394 Laura Cliffs
East Angela, NH 01271</t>
  </si>
  <si>
    <t>South Johnshire</t>
  </si>
  <si>
    <t>Payne-Pena</t>
  </si>
  <si>
    <t>6560 Jesse Brooks Suite 699
North Rebeccafort, ID 49869</t>
  </si>
  <si>
    <t>Millerstad</t>
  </si>
  <si>
    <t>(370)216-0851</t>
  </si>
  <si>
    <t>Nelson PLC</t>
  </si>
  <si>
    <t>USNS Walker
FPO AE 02837</t>
  </si>
  <si>
    <t>Lake Christophermouth</t>
  </si>
  <si>
    <t>(302)042-7352</t>
  </si>
  <si>
    <t>Cruz, Lee and Fernandez</t>
  </si>
  <si>
    <t>659 Janice Land Apt. 415
Christopherburgh, CT 46250</t>
  </si>
  <si>
    <t>Martinville</t>
  </si>
  <si>
    <t>973-312-0803</t>
  </si>
  <si>
    <t>Bruce, Lewis and Anderson</t>
  </si>
  <si>
    <t>587 Julie Oval Apt. 908
South Elizabethbury, IA 98406</t>
  </si>
  <si>
    <t>Ritterburgh</t>
  </si>
  <si>
    <t>Hines-Rangel</t>
  </si>
  <si>
    <t>595 Walker Islands
Casetown, UT 11286</t>
  </si>
  <si>
    <t>Barryside</t>
  </si>
  <si>
    <t>Rogers-Warren</t>
  </si>
  <si>
    <t>408 Katelyn Bridge
Dayshire, LA 95554</t>
  </si>
  <si>
    <t>Jamesfurt</t>
  </si>
  <si>
    <t>001-439-195-6960</t>
  </si>
  <si>
    <t>Fitzpatrick and Sons</t>
  </si>
  <si>
    <t>492 Wright Wells Apt. 328
West Charles, WI 51630</t>
  </si>
  <si>
    <t>New Tammyland</t>
  </si>
  <si>
    <t>+1-011-366-8942x777</t>
  </si>
  <si>
    <t>Miranda Ltd</t>
  </si>
  <si>
    <t>71888 Peterson Gardens Suite 750
Port Susan, SD 20635</t>
  </si>
  <si>
    <t>Wheelermouth</t>
  </si>
  <si>
    <t>490-189-7305x43330</t>
  </si>
  <si>
    <t>Barrera-Ward</t>
  </si>
  <si>
    <t>55591 Eric Corners Apt. 955
Riveraburgh, NJ 52897</t>
  </si>
  <si>
    <t>West Juliabury</t>
  </si>
  <si>
    <t>958.242.0037</t>
  </si>
  <si>
    <t>Rivera Ltd</t>
  </si>
  <si>
    <t>2319 Wong Station Apt. 425
Morrisonbury, KY 44766</t>
  </si>
  <si>
    <t>Manuelhaven</t>
  </si>
  <si>
    <t>Hunt-Lee</t>
  </si>
  <si>
    <t>1004 Michael Mission
East Kenneth, NY 07626</t>
  </si>
  <si>
    <t>Davidborough</t>
  </si>
  <si>
    <t>001-681-802-0601x91223</t>
  </si>
  <si>
    <t>Case, Anderson and Morris</t>
  </si>
  <si>
    <t>6712 Rojas Inlet Suite 958
Schmidtbury, ME 51653</t>
  </si>
  <si>
    <t>Taylorfort</t>
  </si>
  <si>
    <t>732-582-4147x6156</t>
  </si>
  <si>
    <t>Lambert Ltd</t>
  </si>
  <si>
    <t>10860 Jones Fields
North Nicholasmouth, MI 89187</t>
  </si>
  <si>
    <t>South Jerryside</t>
  </si>
  <si>
    <t>351.542.5864x527</t>
  </si>
  <si>
    <t>4260 Emily Extensions
Pinedafort, IN 16450</t>
  </si>
  <si>
    <t>Lake Jefferyborough</t>
  </si>
  <si>
    <t>544.339.0699x37985</t>
  </si>
  <si>
    <t>Steele Ltd</t>
  </si>
  <si>
    <t>79988 Laura Motorway Suite 853
West Kennethfort, NV 88945</t>
  </si>
  <si>
    <t>Heatherview</t>
  </si>
  <si>
    <t>001-300-000-8103x26863</t>
  </si>
  <si>
    <t>Davis PLC</t>
  </si>
  <si>
    <t>PSC 0380, Box 0806
APO AE 90542</t>
  </si>
  <si>
    <t>Port Glendastad</t>
  </si>
  <si>
    <t>001-336-175-1470x894</t>
  </si>
  <si>
    <t>Andrade Inc</t>
  </si>
  <si>
    <t>41963 Woods Skyway
Joanneside, KY 56457</t>
  </si>
  <si>
    <t>West Erinport</t>
  </si>
  <si>
    <t>Chase-Gross</t>
  </si>
  <si>
    <t>950 Nicole Burg Suite 178
Donnamouth, AL 08654</t>
  </si>
  <si>
    <t>Heatherside</t>
  </si>
  <si>
    <t>(041)493-1650</t>
  </si>
  <si>
    <t>Alexander PLC</t>
  </si>
  <si>
    <t>467 Heather Trail Apt. 416
Smithstad, SD 08586</t>
  </si>
  <si>
    <t>Arnoldmouth</t>
  </si>
  <si>
    <t>347-730-0183x269</t>
  </si>
  <si>
    <t>Brown LLC</t>
  </si>
  <si>
    <t>013 Cook Spring
Bradleyborough, CA 82476</t>
  </si>
  <si>
    <t>Jasminechester</t>
  </si>
  <si>
    <t>(155)397-5919x994</t>
  </si>
  <si>
    <t>Torres, Marshall and Williams</t>
  </si>
  <si>
    <t>917 Melanie Via Suite 259
Alexanderfort, UT 16154</t>
  </si>
  <si>
    <t>North Alison</t>
  </si>
  <si>
    <t>001-504-903-6137</t>
  </si>
  <si>
    <t>Leach-Alvarado</t>
  </si>
  <si>
    <t>9446 Camacho Groves Suite 847
South Tony, MD 46082</t>
  </si>
  <si>
    <t>Collinston</t>
  </si>
  <si>
    <t>793-471-7134x359</t>
  </si>
  <si>
    <t>Perez-Howe</t>
  </si>
  <si>
    <t>7844 Ross Via Apt. 392
North James, SC 30883</t>
  </si>
  <si>
    <t>Randallville</t>
  </si>
  <si>
    <t>001-947-698-1631x56761</t>
  </si>
  <si>
    <t>Butler-Anderson</t>
  </si>
  <si>
    <t>927 Edward Stream Apt. 658
Port Melissaport, ME 18030</t>
  </si>
  <si>
    <t>West Christopher</t>
  </si>
  <si>
    <t>593.024.1356</t>
  </si>
  <si>
    <t>Bradley-Smith</t>
  </si>
  <si>
    <t>870 Contreras Brook
Laurashire, CT 25941</t>
  </si>
  <si>
    <t>Jeremiahfort</t>
  </si>
  <si>
    <t>840-107-5994</t>
  </si>
  <si>
    <t>Schmidt Ltd</t>
  </si>
  <si>
    <t>8891 Colleen Lodge
New Kristenstad, VT 55046</t>
  </si>
  <si>
    <t>Brownchester</t>
  </si>
  <si>
    <t>Mills, Smith and Martin</t>
  </si>
  <si>
    <t>04051 Murray Forge Suite 530
Seanmouth, MN 69922</t>
  </si>
  <si>
    <t>Kevinfort</t>
  </si>
  <si>
    <t>(202)949-6624</t>
  </si>
  <si>
    <t>Hernandez, Rodriguez and Tanner</t>
  </si>
  <si>
    <t>878 Wall Course Apt. 546
Lake Davidtown, RI 22137</t>
  </si>
  <si>
    <t>Davisshire</t>
  </si>
  <si>
    <t>464-623-1310</t>
  </si>
  <si>
    <t>Douglas and Sons</t>
  </si>
  <si>
    <t>6331 Kathleen Hill Apt. 153
Johntown, ND 42493</t>
  </si>
  <si>
    <t>North Charlesside</t>
  </si>
  <si>
    <t>(883)611-4618x987</t>
  </si>
  <si>
    <t>Thompson-Ortiz</t>
  </si>
  <si>
    <t>389 Everett Camp Apt. 540
Wongfort, MA 92301</t>
  </si>
  <si>
    <t>Riceshire</t>
  </si>
  <si>
    <t>Ayala LLC</t>
  </si>
  <si>
    <t>PSC 6395, Box 4259
APO AE 55285</t>
  </si>
  <si>
    <t>East Roberthaven</t>
  </si>
  <si>
    <t>714.879.6195x1367</t>
  </si>
  <si>
    <t>Byrd-Mitchell</t>
  </si>
  <si>
    <t>336 Mclaughlin Drives
New Rachel, OK 37858</t>
  </si>
  <si>
    <t>Thomasfurt</t>
  </si>
  <si>
    <t>454.722.9408</t>
  </si>
  <si>
    <t>Hernandez-Todd</t>
  </si>
  <si>
    <t>2686 Delacruz Burgs
Alyssaburgh, WY 28602</t>
  </si>
  <si>
    <t>East Darrell</t>
  </si>
  <si>
    <t>280-061-2048</t>
  </si>
  <si>
    <t>Farmer-Gilbert</t>
  </si>
  <si>
    <t>73098 Charles Harbor Suite 608
Welchbury, WY 30443</t>
  </si>
  <si>
    <t>Robertland</t>
  </si>
  <si>
    <t>(375)215-6908</t>
  </si>
  <si>
    <t>Davis, Bowen and Miller</t>
  </si>
  <si>
    <t>418 Adam Mission Suite 750
Jessicaville, OR 26759</t>
  </si>
  <si>
    <t>North Mike</t>
  </si>
  <si>
    <t>Gonzales Group</t>
  </si>
  <si>
    <t>9183 Robert Mill Suite 331
Curtisview, MI 18328</t>
  </si>
  <si>
    <t>New Matthew</t>
  </si>
  <si>
    <t>+1-790-667-8198x9396</t>
  </si>
  <si>
    <t>Thomas and Sons</t>
  </si>
  <si>
    <t>58989 Matthew Isle
Port Michaelview, AZ 51434</t>
  </si>
  <si>
    <t>Christopherchester</t>
  </si>
  <si>
    <t>Cohen LLC</t>
  </si>
  <si>
    <t>Unit 8432 Box 4483
DPO AA 07457</t>
  </si>
  <si>
    <t>East Anthony</t>
  </si>
  <si>
    <t>505-968-5997x50685</t>
  </si>
  <si>
    <t>Glover, Wilson and Hudson</t>
  </si>
  <si>
    <t>3045 Joshua Fall Suite 109
Khanshire, AL 47705</t>
  </si>
  <si>
    <t>East Ashleyshire</t>
  </si>
  <si>
    <t>(315)080-3138</t>
  </si>
  <si>
    <t>Schwartz, Odonnell and Padilla</t>
  </si>
  <si>
    <t>23011 Barnett Falls Apt. 524
West Cameron, WY 52614</t>
  </si>
  <si>
    <t>Deborahfurt</t>
  </si>
  <si>
    <t>955-658-8107x92494</t>
  </si>
  <si>
    <t>Hanson, Wilkerson and Lee</t>
  </si>
  <si>
    <t>948 Evans Green
Lake Carol, GA 38897</t>
  </si>
  <si>
    <t>Port Peter</t>
  </si>
  <si>
    <t>759.535.5451</t>
  </si>
  <si>
    <t>Snyder Ltd</t>
  </si>
  <si>
    <t>04976 Harris River Apt. 880
Josephland, CT 42183</t>
  </si>
  <si>
    <t>Anthonyton</t>
  </si>
  <si>
    <t>805-601-1161x98115</t>
  </si>
  <si>
    <t>Glass Inc</t>
  </si>
  <si>
    <t>USNS Mayer
FPO AA 41836</t>
  </si>
  <si>
    <t>Kylehaven</t>
  </si>
  <si>
    <t>297.322.1309x74402</t>
  </si>
  <si>
    <t>Wilson-Cook</t>
  </si>
  <si>
    <t>005 Steven Club Suite 180
Robertston, CA 27213</t>
  </si>
  <si>
    <t>Smithfort</t>
  </si>
  <si>
    <t>276-435-4585x5485</t>
  </si>
  <si>
    <t>Serrano-Lopez</t>
  </si>
  <si>
    <t>312 Hodge Center
West Stevenshire, KS 70989</t>
  </si>
  <si>
    <t>South Justinborough</t>
  </si>
  <si>
    <t>(225)688-7752x0658</t>
  </si>
  <si>
    <t>Hart Ltd</t>
  </si>
  <si>
    <t>0749 Bowman Turnpike
South Victoria, WA 89713</t>
  </si>
  <si>
    <t>Richton</t>
  </si>
  <si>
    <t>001-990-952-7428x406</t>
  </si>
  <si>
    <t>Rose-Tucker</t>
  </si>
  <si>
    <t>40207 Martin Stream Apt. 277
West Thomasside, IL 10256</t>
  </si>
  <si>
    <t>Lake Alexis</t>
  </si>
  <si>
    <t>(986)020-7916x11966</t>
  </si>
  <si>
    <t>Cook-Rodriguez</t>
  </si>
  <si>
    <t>06893 Sutton Meadows
West Janet, NM 26129</t>
  </si>
  <si>
    <t>Taylorchester</t>
  </si>
  <si>
    <t>718-514-8646x3588</t>
  </si>
  <si>
    <t>Porter-Clark</t>
  </si>
  <si>
    <t>7685 Derek Mountains Apt. 112
East Donald, NV 08951</t>
  </si>
  <si>
    <t>East Amymouth</t>
  </si>
  <si>
    <t>(857)416-7459</t>
  </si>
  <si>
    <t>Castillo, Nichols and Miller</t>
  </si>
  <si>
    <t>3500 Anderson Tunnel
South Jacqueline, TX 94101</t>
  </si>
  <si>
    <t>Alexanderstad</t>
  </si>
  <si>
    <t>084-323-1485</t>
  </si>
  <si>
    <t>Olson, Johnson and Figueroa</t>
  </si>
  <si>
    <t>99198 Lisa Ranch Suite 190
New Arianaton, CT 16571</t>
  </si>
  <si>
    <t>Lake Benjamin</t>
  </si>
  <si>
    <t>001-990-205-7079x72906</t>
  </si>
  <si>
    <t>Peterson, Davis and Serrano</t>
  </si>
  <si>
    <t>3793 Jones Inlet Apt. 560
Amymouth, VA 40417</t>
  </si>
  <si>
    <t>West Thomas</t>
  </si>
  <si>
    <t>Barry-Bell</t>
  </si>
  <si>
    <t>6963 Roberts Street Suite 944
Ramirezside, ME 50685</t>
  </si>
  <si>
    <t>West Jeffreyland</t>
  </si>
  <si>
    <t>+1-188-325-8079x554</t>
  </si>
  <si>
    <t>Meyer and Sons</t>
  </si>
  <si>
    <t>08209 Eaton Streets Apt. 968
South Laurenside, RI 88383</t>
  </si>
  <si>
    <t>Carolchester</t>
  </si>
  <si>
    <t>001-738-662-6338</t>
  </si>
  <si>
    <t>Morris and Sons</t>
  </si>
  <si>
    <t>4573 Velasquez Brooks Suite 077
New Eric, MS 48382</t>
  </si>
  <si>
    <t>Anthonyfort</t>
  </si>
  <si>
    <t>Kennedy-Johnston</t>
  </si>
  <si>
    <t>72862 Matthew Prairie Apt. 637
Reidland, CA 77085</t>
  </si>
  <si>
    <t>Nicoletown</t>
  </si>
  <si>
    <t>(669)695-7079x59486</t>
  </si>
  <si>
    <t>Davies, Salas and Clark</t>
  </si>
  <si>
    <t>USNV Gonzalez
FPO AE 52004</t>
  </si>
  <si>
    <t>Port Leahfurt</t>
  </si>
  <si>
    <t>779-969-0977</t>
  </si>
  <si>
    <t>87132 Holland Hollow
Mirandamouth, IA 28722</t>
  </si>
  <si>
    <t>North Christina</t>
  </si>
  <si>
    <t>200.655.1498x63749</t>
  </si>
  <si>
    <t>Carlson-Gray</t>
  </si>
  <si>
    <t>235 Carroll Ways
Kaiserfort, AZ 12910</t>
  </si>
  <si>
    <t>Lake Michaelchester</t>
  </si>
  <si>
    <t>001-917-927-6401x030</t>
  </si>
  <si>
    <t>Ortega Inc</t>
  </si>
  <si>
    <t>9849 Newton Stravenue
Port Andrew, LA 24512</t>
  </si>
  <si>
    <t>Contrerasberg</t>
  </si>
  <si>
    <t>399-519-7057x713</t>
  </si>
  <si>
    <t>Porter, Sanchez and Fisher</t>
  </si>
  <si>
    <t>02064 Carl Drive Apt. 966
Gonzalesville, NJ 58251</t>
  </si>
  <si>
    <t>Bradleyview</t>
  </si>
  <si>
    <t>130.001.1415</t>
  </si>
  <si>
    <t>Martinez-Graham</t>
  </si>
  <si>
    <t>002 Jessica Pine Suite 278
Davidville, NE 33218</t>
  </si>
  <si>
    <t>Elliottberg</t>
  </si>
  <si>
    <t>001-974-692-9262x419</t>
  </si>
  <si>
    <t>Flores-Pope</t>
  </si>
  <si>
    <t>595 Smith Bridge
East Kathybury, HI 61275</t>
  </si>
  <si>
    <t>Chadview</t>
  </si>
  <si>
    <t>001-318-564-6161x5712</t>
  </si>
  <si>
    <t>Bell Inc</t>
  </si>
  <si>
    <t>557 Richard Flat
West Willie, MN 30891</t>
  </si>
  <si>
    <t>South Sarahville</t>
  </si>
  <si>
    <t>703-343-4632</t>
  </si>
  <si>
    <t>Strickland, Sims and Gray</t>
  </si>
  <si>
    <t>USNV Peterson
FPO AA 78656</t>
  </si>
  <si>
    <t>New Crystal</t>
  </si>
  <si>
    <t>311-338-5086</t>
  </si>
  <si>
    <t>King, Schneider and Banks</t>
  </si>
  <si>
    <t>4903 Hayes Neck
South William, VA 09048</t>
  </si>
  <si>
    <t>New Billy</t>
  </si>
  <si>
    <t>+1-965-260-6135x55791</t>
  </si>
  <si>
    <t>Waller-Nguyen</t>
  </si>
  <si>
    <t>324 Jones Drives Apt. 874
Chungland, SC 74447</t>
  </si>
  <si>
    <t>Danaville</t>
  </si>
  <si>
    <t>150.181.0420</t>
  </si>
  <si>
    <t>Nichols-Barnes</t>
  </si>
  <si>
    <t>PSC 0287, Box 6878
APO AP 95472</t>
  </si>
  <si>
    <t>Port Richardshire</t>
  </si>
  <si>
    <t>507-731-3315</t>
  </si>
  <si>
    <t>Smith Group</t>
  </si>
  <si>
    <t>PSC 0438, Box 0878
APO AE 55216</t>
  </si>
  <si>
    <t>Lake Lindsay</t>
  </si>
  <si>
    <t>(876)479-0500</t>
  </si>
  <si>
    <t>Barton Group</t>
  </si>
  <si>
    <t>535 Taylor Ford Suite 086
Marystad, ID 13421</t>
  </si>
  <si>
    <t>North Paulstad</t>
  </si>
  <si>
    <t>(382)167-2183x377</t>
  </si>
  <si>
    <t>Roberts, Griffith and Clark</t>
  </si>
  <si>
    <t>585 Megan Crossroad
Kennethside, NJ 77196</t>
  </si>
  <si>
    <t>Robertsonfort</t>
  </si>
  <si>
    <t>001-103-215-0810x47791</t>
  </si>
  <si>
    <t>Gibson and Sons</t>
  </si>
  <si>
    <t>0835 Franco Common
East Martha, SD 01753</t>
  </si>
  <si>
    <t>Grahamside</t>
  </si>
  <si>
    <t>(804)688-7617</t>
  </si>
  <si>
    <t>Hale Ltd</t>
  </si>
  <si>
    <t>0804 Adkins Valley Apt. 988
North Alvin, MT 64482</t>
  </si>
  <si>
    <t>Morganside</t>
  </si>
  <si>
    <t>Roberson, Marquez and Mcdowell</t>
  </si>
  <si>
    <t>763 Lewis Springs Apt. 567
Stevenberg, DC 99917</t>
  </si>
  <si>
    <t>New Erica</t>
  </si>
  <si>
    <t>001-664-180-0480x4998</t>
  </si>
  <si>
    <t>Moore LLC</t>
  </si>
  <si>
    <t>316 Clark Throughway Suite 810
Port John, ND 69257</t>
  </si>
  <si>
    <t>East Timothy</t>
  </si>
  <si>
    <t>(305)756-5998x6969</t>
  </si>
  <si>
    <t>Cruz, Branch and Pierce</t>
  </si>
  <si>
    <t>Unit 0162 Box 8564
DPO AA 55163</t>
  </si>
  <si>
    <t>South Lisabury</t>
  </si>
  <si>
    <t>000.621.1526</t>
  </si>
  <si>
    <t>Rios Group</t>
  </si>
  <si>
    <t>58472 Snyder Squares
Port Zacharyton, CT 67515</t>
  </si>
  <si>
    <t>Madisonfort</t>
  </si>
  <si>
    <t>003-727-0894x163</t>
  </si>
  <si>
    <t>Simmons PLC</t>
  </si>
  <si>
    <t>7157 Denise Estate Suite 437
Paulland, AR 99422</t>
  </si>
  <si>
    <t>North Katelyn</t>
  </si>
  <si>
    <t>(272)507-6150</t>
  </si>
  <si>
    <t>Smith-Rodriguez</t>
  </si>
  <si>
    <t>90439 Henderson Common Suite 037
West Paulport, AL 92938</t>
  </si>
  <si>
    <t>South Linda</t>
  </si>
  <si>
    <t>23176 Moore Viaduct Apt. 227
South Racheltown, AR 68895</t>
  </si>
  <si>
    <t>New Robertland</t>
  </si>
  <si>
    <t>(260)635-1016</t>
  </si>
  <si>
    <t>8358 Randy Mission
Markmouth, SC 03456</t>
  </si>
  <si>
    <t>Castilloport</t>
  </si>
  <si>
    <t>164.699.6716</t>
  </si>
  <si>
    <t>Gutierrez, Anthony and Shannon</t>
  </si>
  <si>
    <t>6787 Jamie Fords Suite 103
Wademouth, IL 18159</t>
  </si>
  <si>
    <t>Lake Justin</t>
  </si>
  <si>
    <t>Murray Inc</t>
  </si>
  <si>
    <t>9576 Johnson Course
Farrellport, IN 73821</t>
  </si>
  <si>
    <t>New Hannah</t>
  </si>
  <si>
    <t>291.605.6162</t>
  </si>
  <si>
    <t>Sanders-Hutchinson</t>
  </si>
  <si>
    <t>USNS Wade
FPO AA 18533</t>
  </si>
  <si>
    <t>Port Lauriechester</t>
  </si>
  <si>
    <t>001-460-802-8118x0406</t>
  </si>
  <si>
    <t>Carey-Ramos</t>
  </si>
  <si>
    <t>6431 Kelly Brooks
West Stephaniemouth, NV 75536</t>
  </si>
  <si>
    <t>East Edwinburgh</t>
  </si>
  <si>
    <t>178-837-6236x9304</t>
  </si>
  <si>
    <t>Barber Ltd</t>
  </si>
  <si>
    <t>9428 Garcia Loop Apt. 919
Amberfurt, KY 73455</t>
  </si>
  <si>
    <t>Port Jacob</t>
  </si>
  <si>
    <t>001-045-508-9337x308</t>
  </si>
  <si>
    <t>Terry Inc</t>
  </si>
  <si>
    <t>447 Peterson Shore
Ramirezchester, VA 69602</t>
  </si>
  <si>
    <t>Johnton</t>
  </si>
  <si>
    <t>280-723-4101x315</t>
  </si>
  <si>
    <t>Huerta PLC</t>
  </si>
  <si>
    <t>6435 Moore Glens Apt. 887
South Nicoleburgh, CT 31272</t>
  </si>
  <si>
    <t>Lake Brendaland</t>
  </si>
  <si>
    <t>001-914-311-6419</t>
  </si>
  <si>
    <t>Wilson, Watkins and Moore</t>
  </si>
  <si>
    <t>57044 Fisher Valley
Parkerland, ID 82897</t>
  </si>
  <si>
    <t>782.944.0904</t>
  </si>
  <si>
    <t>Alexander-Mendoza</t>
  </si>
  <si>
    <t>08769 Colleen Mount Apt. 218
Torresberg, TN 59083</t>
  </si>
  <si>
    <t>East Johnburgh</t>
  </si>
  <si>
    <t>596.249.3643x159</t>
  </si>
  <si>
    <t>Sanchez, Mendez and Hill</t>
  </si>
  <si>
    <t>03470 Cooke Cape Apt. 822
South Michellemouth, MO 20350</t>
  </si>
  <si>
    <t>Port Pamelaport</t>
  </si>
  <si>
    <t>+1-371-882-7467x781</t>
  </si>
  <si>
    <t>Bishop, Martinez and Robinson</t>
  </si>
  <si>
    <t>0139 Cox Unions
New Ryan, ID 34556</t>
  </si>
  <si>
    <t>Port Daniellechester</t>
  </si>
  <si>
    <t>001-071-886-3052x2779</t>
  </si>
  <si>
    <t>Allen, Ramsey and Cortez</t>
  </si>
  <si>
    <t>480 Bruce Run
Dennischester, CO 85895</t>
  </si>
  <si>
    <t>Charlesmouth</t>
  </si>
  <si>
    <t>594.468.5130</t>
  </si>
  <si>
    <t>Roach-Wheeler</t>
  </si>
  <si>
    <t>8571 Tonya Viaduct
East Pamelafurt, NM 42162</t>
  </si>
  <si>
    <t>Rebeccaburgh</t>
  </si>
  <si>
    <t>001-215-175-9576x5678</t>
  </si>
  <si>
    <t>Fields, Bell and Ferguson</t>
  </si>
  <si>
    <t>774 Smith Ridges Suite 425
Davidsonshire, TX 01449</t>
  </si>
  <si>
    <t>Ashleyton</t>
  </si>
  <si>
    <t>431-737-8806x5808</t>
  </si>
  <si>
    <t>Gonzalez Inc</t>
  </si>
  <si>
    <t>0269 Sanchez Fields
Alexanderfurt, AL 45894</t>
  </si>
  <si>
    <t>South Nicole</t>
  </si>
  <si>
    <t>679-305-8392</t>
  </si>
  <si>
    <t>Henderson Group</t>
  </si>
  <si>
    <t>655 Mallory Fork
North Mary, WY 23835</t>
  </si>
  <si>
    <t>Bentonfurt</t>
  </si>
  <si>
    <t>854-929-8365</t>
  </si>
  <si>
    <t>Leon and Sons</t>
  </si>
  <si>
    <t>63135 Sonia Stravenue
Chungstad, MI 04689</t>
  </si>
  <si>
    <t>Port Jerome</t>
  </si>
  <si>
    <t>+1-210-177-5545x47003</t>
  </si>
  <si>
    <t>Alvarado LLC</t>
  </si>
  <si>
    <t>48690 Boyle Plaza Suite 271
North Briantown, AK 84478</t>
  </si>
  <si>
    <t>East Jacobchester</t>
  </si>
  <si>
    <t>Lopez, Roach and Roach</t>
  </si>
  <si>
    <t>8319 Brandi Place Suite 155
Jamesbury, NC 87170</t>
  </si>
  <si>
    <t>Lake Regina</t>
  </si>
  <si>
    <t>001-785-448-3246x762</t>
  </si>
  <si>
    <t>Lopez-Gonzalez</t>
  </si>
  <si>
    <t>PSC 7602, Box 7270
APO AP 99047</t>
  </si>
  <si>
    <t>Hamiltontown</t>
  </si>
  <si>
    <t>(563)896-5959</t>
  </si>
  <si>
    <t>Brooks-Mccarty</t>
  </si>
  <si>
    <t>8686 Thomas Union
East Leonmouth, CO 18252</t>
  </si>
  <si>
    <t>East Kevin</t>
  </si>
  <si>
    <t>(297)995-3926</t>
  </si>
  <si>
    <t>Madden, Burke and Norris</t>
  </si>
  <si>
    <t>42593 Acosta Plain
New Molly, NC 37742</t>
  </si>
  <si>
    <t>Owenschester</t>
  </si>
  <si>
    <t>+1-237-950-6012x5247</t>
  </si>
  <si>
    <t>Turner-Bell</t>
  </si>
  <si>
    <t>413 Chapman Locks Suite 792
Port Brucetown, HI 04419</t>
  </si>
  <si>
    <t>Suzanneport</t>
  </si>
  <si>
    <t>001-145-904-7946</t>
  </si>
  <si>
    <t>Bates-Johnson</t>
  </si>
  <si>
    <t>89427 Jennings Station
South Donald, ID 37797</t>
  </si>
  <si>
    <t>Millerview</t>
  </si>
  <si>
    <t>001-721-708-9864x7257</t>
  </si>
  <si>
    <t>Nelson-White</t>
  </si>
  <si>
    <t>413 Atkinson Lodge
South Michael, WY 43133</t>
  </si>
  <si>
    <t>North Douglasfurt</t>
  </si>
  <si>
    <t>001-558-380-9342x873</t>
  </si>
  <si>
    <t>Baker-Mcdonald</t>
  </si>
  <si>
    <t>290 Bowen Loaf Apt. 261
Gordonshire, ME 35368</t>
  </si>
  <si>
    <t>East Andrea</t>
  </si>
  <si>
    <t>933.503.6294x194</t>
  </si>
  <si>
    <t>Murray, Fisher and Johnson</t>
  </si>
  <si>
    <t>6181 Ortiz Lane
Joefort, NM 41365</t>
  </si>
  <si>
    <t>Bridgetside</t>
  </si>
  <si>
    <t>099-729-5682x02308</t>
  </si>
  <si>
    <t>Frazier Inc</t>
  </si>
  <si>
    <t>2265 Luke Streets
South Emily, DE 29085</t>
  </si>
  <si>
    <t>West Peterborough</t>
  </si>
  <si>
    <t>001-577-052-9311x74815</t>
  </si>
  <si>
    <t>Cordova-Hernandez</t>
  </si>
  <si>
    <t>USNS Joyce
FPO AA 64112</t>
  </si>
  <si>
    <t>Stewartfurt</t>
  </si>
  <si>
    <t>001-379-599-8238</t>
  </si>
  <si>
    <t>Kelley-Brown</t>
  </si>
  <si>
    <t>85392 Jackson Plain
North Carrie, IL 86562</t>
  </si>
  <si>
    <t>Port Erinton</t>
  </si>
  <si>
    <t>405.865.9814</t>
  </si>
  <si>
    <t>Johnston, Shelton and Sellers</t>
  </si>
  <si>
    <t>76976 Myers Spurs Suite 680
West Katieville, NY 87868</t>
  </si>
  <si>
    <t>Christianfurt</t>
  </si>
  <si>
    <t>001-716-089-5283x110</t>
  </si>
  <si>
    <t>Wilkerson-Woods</t>
  </si>
  <si>
    <t>51520 Deborah Views Apt. 001
Moranbury, VT 92348</t>
  </si>
  <si>
    <t>Samanthabury</t>
  </si>
  <si>
    <t>Alexander Inc</t>
  </si>
  <si>
    <t>76163 William Stravenue Apt. 727
West Pamela, MO 11674</t>
  </si>
  <si>
    <t>North Stephanieville</t>
  </si>
  <si>
    <t>001-571-446-5989x8076</t>
  </si>
  <si>
    <t>Curtis Ltd</t>
  </si>
  <si>
    <t>USS Molina
FPO AA 14062</t>
  </si>
  <si>
    <t>New Robert</t>
  </si>
  <si>
    <t>126.286.0156</t>
  </si>
  <si>
    <t>Anderson, Adams and Roberts</t>
  </si>
  <si>
    <t>Unit 8792 Box 5188
DPO AP 55807</t>
  </si>
  <si>
    <t>New Denise</t>
  </si>
  <si>
    <t>+1-941-120-2190x554</t>
  </si>
  <si>
    <t>Barker, Gibbs and Lopez</t>
  </si>
  <si>
    <t>518 Francis Estates Apt. 955
Gonzalezhaven, DE 36339</t>
  </si>
  <si>
    <t>Brownshire</t>
  </si>
  <si>
    <t>Young-Jackson</t>
  </si>
  <si>
    <t>4444 Sharp Hollow
Timothymouth, AR 56543</t>
  </si>
  <si>
    <t>West Daniel</t>
  </si>
  <si>
    <t>011.721.1555x539</t>
  </si>
  <si>
    <t>Sparks-Berry</t>
  </si>
  <si>
    <t>72131 Walter Radial Suite 498
Port David, ND 60911</t>
  </si>
  <si>
    <t>Chelseyfort</t>
  </si>
  <si>
    <t>867.938.9153x710</t>
  </si>
  <si>
    <t>Jones, Ortega and Rubio</t>
  </si>
  <si>
    <t>61516 Villarreal Lights
South Ashleymouth, OH 60424</t>
  </si>
  <si>
    <t>East Craig</t>
  </si>
  <si>
    <t>(993)551-7736x1457</t>
  </si>
  <si>
    <t>Blankenship-Lewis</t>
  </si>
  <si>
    <t>883 Lee Alley
East Robertview, MI 64109</t>
  </si>
  <si>
    <t>Jonathanstad</t>
  </si>
  <si>
    <t>651-552-2403</t>
  </si>
  <si>
    <t>Harris Group</t>
  </si>
  <si>
    <t>230 Brown Courts
West Cory, TX 94355</t>
  </si>
  <si>
    <t>Levytown</t>
  </si>
  <si>
    <t>001-077-563-1726x39015</t>
  </si>
  <si>
    <t>Davis-Kennedy</t>
  </si>
  <si>
    <t>609 Jackson Cliffs
Lake Johnside, ID 47134</t>
  </si>
  <si>
    <t>Jordanhaven</t>
  </si>
  <si>
    <t>598-048-5675</t>
  </si>
  <si>
    <t>Mcdaniel-Bates</t>
  </si>
  <si>
    <t>2198 Alexis Passage Apt. 287
Sylviaville, MN 08405</t>
  </si>
  <si>
    <t>Liberg</t>
  </si>
  <si>
    <t>(398)855-7507x166</t>
  </si>
  <si>
    <t>Abbott-Robinson</t>
  </si>
  <si>
    <t>PSC 1306, Box 2371
APO AA 44403</t>
  </si>
  <si>
    <t>Joseville</t>
  </si>
  <si>
    <t>449-700-6900x46176</t>
  </si>
  <si>
    <t>Small Ltd</t>
  </si>
  <si>
    <t>85125 Deanna Garden
New Sherry, IL 97694</t>
  </si>
  <si>
    <t>Gaineschester</t>
  </si>
  <si>
    <t>Sutton, Day and Brooks</t>
  </si>
  <si>
    <t>PSC 0203, Box 6449
APO AA 03081</t>
  </si>
  <si>
    <t>Chelseaside</t>
  </si>
  <si>
    <t>Davis-Glenn</t>
  </si>
  <si>
    <t>94687 Debra Motorway Suite 487
Steinport, OK 46407</t>
  </si>
  <si>
    <t>Tylerton</t>
  </si>
  <si>
    <t>519-068-6168</t>
  </si>
  <si>
    <t>Rojas-Cook</t>
  </si>
  <si>
    <t>397 Ruth Track
South Alyssa, NE 98089</t>
  </si>
  <si>
    <t>Lake Diane</t>
  </si>
  <si>
    <t>+1-019-312-8887x18286</t>
  </si>
  <si>
    <t>Goodwin, Acosta and Chan</t>
  </si>
  <si>
    <t>81662 Lawrence Mountains Apt. 545
Sarahstad, ND 47525</t>
  </si>
  <si>
    <t>Walkerfurt</t>
  </si>
  <si>
    <t>001-076-856-9568x65782</t>
  </si>
  <si>
    <t>Roth-Mathews</t>
  </si>
  <si>
    <t>Unit 2793 Box 6632
DPO AP 04112</t>
  </si>
  <si>
    <t>Cordovaborough</t>
  </si>
  <si>
    <t>(032)688-9162</t>
  </si>
  <si>
    <t>Lozano-Miller</t>
  </si>
  <si>
    <t>590 Michelle Brooks Apt. 406
Danielburgh, TN 15283</t>
  </si>
  <si>
    <t>Adamsview</t>
  </si>
  <si>
    <t>001-281-026-8022</t>
  </si>
  <si>
    <t>Mitchell PLC</t>
  </si>
  <si>
    <t>1968 Todd Via Apt. 855
South Melissa, MN 02718</t>
  </si>
  <si>
    <t>Port Davidshire</t>
  </si>
  <si>
    <t>001-534-826-6584</t>
  </si>
  <si>
    <t>Taylor-Lyons</t>
  </si>
  <si>
    <t>816 Jackson Union
West Matthew, NM 60621</t>
  </si>
  <si>
    <t>Port Timothystad</t>
  </si>
  <si>
    <t>001-846-553-1363</t>
  </si>
  <si>
    <t>Cruz, Murphy and Santos</t>
  </si>
  <si>
    <t>7859 Derek Center Apt. 703
Lake Yvonne, AR 23556</t>
  </si>
  <si>
    <t>West Larry</t>
  </si>
  <si>
    <t>001-070-676-6757</t>
  </si>
  <si>
    <t>Roy-Hancock</t>
  </si>
  <si>
    <t>203 Dawn Ridge
Loganshire, SC 01665</t>
  </si>
  <si>
    <t>Maxwellburgh</t>
  </si>
  <si>
    <t>(186)046-9157</t>
  </si>
  <si>
    <t>Bowers, Gonzalez and Simmons</t>
  </si>
  <si>
    <t>096 Jonathan Unions Suite 804
South Angelaburgh, NM 97882</t>
  </si>
  <si>
    <t>Snyderton</t>
  </si>
  <si>
    <t>+1-401-191-5365x80259</t>
  </si>
  <si>
    <t>Raymond, Kelly and Yates</t>
  </si>
  <si>
    <t>8919 Natasha Tunnel
Jacksonburgh, MO 07674</t>
  </si>
  <si>
    <t>New Aaronberg</t>
  </si>
  <si>
    <t>(590)421-4384</t>
  </si>
  <si>
    <t>Porter Inc</t>
  </si>
  <si>
    <t>459 Allen Valleys
Hoside, WV 99671</t>
  </si>
  <si>
    <t>Wadeville</t>
  </si>
  <si>
    <t>888.141.3309x17466</t>
  </si>
  <si>
    <t>Hill, Davis and Stewart</t>
  </si>
  <si>
    <t>6315 Jonathan Views Suite 276
Jerryhaven, TX 90986</t>
  </si>
  <si>
    <t>Anneville</t>
  </si>
  <si>
    <t>+1-608-953-5542x841</t>
  </si>
  <si>
    <t>Smith, James and Alvarado</t>
  </si>
  <si>
    <t>1886 Warner Fall Apt. 545
New Codyport, LA 47509</t>
  </si>
  <si>
    <t>Keithburgh</t>
  </si>
  <si>
    <t>Jackson, Miller and Porter</t>
  </si>
  <si>
    <t>8021 Erin Trafficway
New Jamesport, TX 78396</t>
  </si>
  <si>
    <t>Port Andre</t>
  </si>
  <si>
    <t>257-230-5531</t>
  </si>
  <si>
    <t>Kim LLC</t>
  </si>
  <si>
    <t>5405 Cameron Trace
Kennedyton, NV 57074</t>
  </si>
  <si>
    <t>Deanport</t>
  </si>
  <si>
    <t>247.423.7138x621</t>
  </si>
  <si>
    <t>Davis, Maldonado and Palmer</t>
  </si>
  <si>
    <t>2622 Kimberly Port Suite 775
Danielland, NE 08014</t>
  </si>
  <si>
    <t>Torresfort</t>
  </si>
  <si>
    <t>861.571.1349x26120</t>
  </si>
  <si>
    <t>Roberts, Howard and Bender</t>
  </si>
  <si>
    <t>67885 Avila Crossroad Suite 550
Anthonymouth, WY 53169</t>
  </si>
  <si>
    <t>Lake Lorrainefort</t>
  </si>
  <si>
    <t>+1-414-385-0073x51267</t>
  </si>
  <si>
    <t>Torres Ltd</t>
  </si>
  <si>
    <t>7676 Estes Harbor Suite 218
Brandonmouth, SC 41497</t>
  </si>
  <si>
    <t>West Amandafurt</t>
  </si>
  <si>
    <t>(283)833-1998</t>
  </si>
  <si>
    <t>Phillips Inc</t>
  </si>
  <si>
    <t>560 Long Mill
Lake Caitlin, CT 60702</t>
  </si>
  <si>
    <t>Lake Carlos</t>
  </si>
  <si>
    <t>(182)626-5112</t>
  </si>
  <si>
    <t>Harrington, Jimenez and Carr</t>
  </si>
  <si>
    <t>7266 Alvarez Junctions Suite 564
New Robertfort, MT 85213</t>
  </si>
  <si>
    <t>South Tylerstad</t>
  </si>
  <si>
    <t>154-764-8062</t>
  </si>
  <si>
    <t>Moran, Mcmillan and Jones</t>
  </si>
  <si>
    <t>13859 Brandon Burg Suite 195
Jamesshire, KS 72927</t>
  </si>
  <si>
    <t>Bonillahaven</t>
  </si>
  <si>
    <t>001-261-466-0296x4350</t>
  </si>
  <si>
    <t>Baird PLC</t>
  </si>
  <si>
    <t>10521 Jared Mill Suite 659
Mccormickhaven, MO 07533</t>
  </si>
  <si>
    <t>Markport</t>
  </si>
  <si>
    <t>001-930-122-6265x199</t>
  </si>
  <si>
    <t>Macdonald, Hale and Garcia</t>
  </si>
  <si>
    <t>26656 April Cliffs Apt. 770
Terriville, NV 90626</t>
  </si>
  <si>
    <t>Dannybury</t>
  </si>
  <si>
    <t>Spencer, Eaton and Young</t>
  </si>
  <si>
    <t>904 Freeman Lodge Suite 905
Lake Stephanieshire, NE 73215</t>
  </si>
  <si>
    <t>Johnstonhaven</t>
  </si>
  <si>
    <t>808.707.2502x64682</t>
  </si>
  <si>
    <t>5262 Roy Village
Jonville, HI 04740</t>
  </si>
  <si>
    <t>North Kylestad</t>
  </si>
  <si>
    <t>(648)470-0469x880</t>
  </si>
  <si>
    <t>Johnson-Green</t>
  </si>
  <si>
    <t>7369 Kenneth Haven
Andrewborough, UT 47985</t>
  </si>
  <si>
    <t>Darrylchester</t>
  </si>
  <si>
    <t>001-090-513-0319x965</t>
  </si>
  <si>
    <t>Daniel, Schroeder and Morse</t>
  </si>
  <si>
    <t>71684 Campbell Stravenue
Garrettside, HI 68372</t>
  </si>
  <si>
    <t>Rogersmouth</t>
  </si>
  <si>
    <t>+1-753-153-8390x0816</t>
  </si>
  <si>
    <t>Elliott LLC</t>
  </si>
  <si>
    <t>16795 Anderson Hill Suite 956
Curtishaven, MS 95388</t>
  </si>
  <si>
    <t>South Kayla</t>
  </si>
  <si>
    <t>Hill PLC</t>
  </si>
  <si>
    <t>8470 Brandon Extension
North Rhondastad, AK 50332</t>
  </si>
  <si>
    <t>Valdezborough</t>
  </si>
  <si>
    <t>+1-157-982-5008x743</t>
  </si>
  <si>
    <t>Johnson-Farley</t>
  </si>
  <si>
    <t>721 Rivera Spurs
Moorebury, WV 76648</t>
  </si>
  <si>
    <t>South Donald</t>
  </si>
  <si>
    <t>(969)280-5722</t>
  </si>
  <si>
    <t>Jones Group</t>
  </si>
  <si>
    <t>3828 Williams Lake
Brownshire, OR 72935</t>
  </si>
  <si>
    <t>Callahanside</t>
  </si>
  <si>
    <t>(104)313-7701x468</t>
  </si>
  <si>
    <t>Beck Inc</t>
  </si>
  <si>
    <t>102 Jackson Plaza Apt. 330
North Meganborough, NC 67139</t>
  </si>
  <si>
    <t>Jasonmouth</t>
  </si>
  <si>
    <t>963-484-4775x327</t>
  </si>
  <si>
    <t>Smith-Thomas</t>
  </si>
  <si>
    <t>682 Samantha Ranch Apt. 661
East Patricia, NM 14216</t>
  </si>
  <si>
    <t>Watsonton</t>
  </si>
  <si>
    <t>962.444.4824x7142</t>
  </si>
  <si>
    <t>Randall-Wagner</t>
  </si>
  <si>
    <t>9517 Adrienne Valleys Suite 015
South Jennifer, ME 25672</t>
  </si>
  <si>
    <t>Henrychester</t>
  </si>
  <si>
    <t>427.635.9668x1254</t>
  </si>
  <si>
    <t>Lewis-Deleon</t>
  </si>
  <si>
    <t>PSC 3880, Box 0574
APO AE 02776</t>
  </si>
  <si>
    <t>West Karen</t>
  </si>
  <si>
    <t>399-298-6885x917</t>
  </si>
  <si>
    <t>Pitts, Johnson and Humphrey</t>
  </si>
  <si>
    <t>9653 Benjamin Prairie Apt. 866
Wilcoxtown, OK 40953</t>
  </si>
  <si>
    <t>New Johnfurt</t>
  </si>
  <si>
    <t>001-818-934-0059x74196</t>
  </si>
  <si>
    <t>Nelson Inc</t>
  </si>
  <si>
    <t>Unit 9087 Box 7118
DPO AP 47666</t>
  </si>
  <si>
    <t>East Jennifer</t>
  </si>
  <si>
    <t>(590)329-6474x36645</t>
  </si>
  <si>
    <t>Johnson, Wheeler and Fischer</t>
  </si>
  <si>
    <t>117 Mclaughlin Stream Apt. 161
West Jose, UT 58322</t>
  </si>
  <si>
    <t>Richardton</t>
  </si>
  <si>
    <t>824.788.6573x954</t>
  </si>
  <si>
    <t>Williams-Flores</t>
  </si>
  <si>
    <t>3389 Joshua Landing Suite 758
Millsborough, MT 99216</t>
  </si>
  <si>
    <t>Kellyberg</t>
  </si>
  <si>
    <t>001-136-581-9633x2801</t>
  </si>
  <si>
    <t>Gardner, Garcia and Valenzuela</t>
  </si>
  <si>
    <t>41140 Julie Springs Suite 485
West Tammy, HI 01981</t>
  </si>
  <si>
    <t>New Wendymouth</t>
  </si>
  <si>
    <t>818-660-2603x90477</t>
  </si>
  <si>
    <t>Walter, Gonzales and Potter</t>
  </si>
  <si>
    <t>77735 Parsons Underpass Apt. 969
Jillberg, NH 89270</t>
  </si>
  <si>
    <t>Batesstad</t>
  </si>
  <si>
    <t>House, James and Miller</t>
  </si>
  <si>
    <t>52465 Danielle Forge Suite 949
Walterschester, CT 88915</t>
  </si>
  <si>
    <t>Lisamouth</t>
  </si>
  <si>
    <t>070-175-5725</t>
  </si>
  <si>
    <t>Doyle, Clark and Campbell</t>
  </si>
  <si>
    <t>USS Howard
FPO AP 75180</t>
  </si>
  <si>
    <t>East Deborah</t>
  </si>
  <si>
    <t>205.237.3375</t>
  </si>
  <si>
    <t>Phelps, Graham and Hayes</t>
  </si>
  <si>
    <t>59138 Sherman Light Apt. 256
Rossside, ND 89271</t>
  </si>
  <si>
    <t>Timothychester</t>
  </si>
  <si>
    <t>(512)814-0594x96653</t>
  </si>
  <si>
    <t>Holland, Caldwell and Oliver</t>
  </si>
  <si>
    <t>7502 Silva Lights Apt. 125
North Brittany, MA 40389</t>
  </si>
  <si>
    <t>East Sandratown</t>
  </si>
  <si>
    <t>(670)960-9465</t>
  </si>
  <si>
    <t>Schwartz, Holland and Mccarthy</t>
  </si>
  <si>
    <t>19727 Luke Wall
Jacquelinetown, ME 38666</t>
  </si>
  <si>
    <t>Pearsonchester</t>
  </si>
  <si>
    <t>001-486-894-6733x80522</t>
  </si>
  <si>
    <t>Schultz, Gross and Morrow</t>
  </si>
  <si>
    <t>904 Caitlin Harbor Suite 165
Piercemouth, MI 67261</t>
  </si>
  <si>
    <t>North Marthaton</t>
  </si>
  <si>
    <t>291-421-3869</t>
  </si>
  <si>
    <t>Jackson Ltd</t>
  </si>
  <si>
    <t>325 Becker Pass
West Bobshire, MT 42103</t>
  </si>
  <si>
    <t>Brandyberg</t>
  </si>
  <si>
    <t>920-705-5617x44135</t>
  </si>
  <si>
    <t>Valencia, Floyd and Jordan</t>
  </si>
  <si>
    <t>755 James Greens Apt. 111
South Thomaschester, MT 65536</t>
  </si>
  <si>
    <t>South Brenda</t>
  </si>
  <si>
    <t>864.386.4484x7247</t>
  </si>
  <si>
    <t>Reyes, Houston and Esparza</t>
  </si>
  <si>
    <t>60546 Amanda Canyon
Holmesmouth, ME 97812</t>
  </si>
  <si>
    <t>Brittanyland</t>
  </si>
  <si>
    <t>Smith PLC</t>
  </si>
  <si>
    <t>USNS Riley
FPO AA 59840</t>
  </si>
  <si>
    <t>East Aaron</t>
  </si>
  <si>
    <t>911-068-2655x53558</t>
  </si>
  <si>
    <t>Beck Group</t>
  </si>
  <si>
    <t>0291 Williams Harbor Suite 127
Hooverchester, ID 89542</t>
  </si>
  <si>
    <t>North Sharonberg</t>
  </si>
  <si>
    <t>Young, Moran and Morris</t>
  </si>
  <si>
    <t>0953 Davis Well Apt. 329
West Maurice, NC 31745</t>
  </si>
  <si>
    <t>New Baileyfort</t>
  </si>
  <si>
    <t>+1-750-812-7169x04781</t>
  </si>
  <si>
    <t>Cunningham-Wyatt</t>
  </si>
  <si>
    <t>5900 Mccullough Mountain Apt. 363
Kristineland, NV 53404</t>
  </si>
  <si>
    <t>East Donnafort</t>
  </si>
  <si>
    <t>+1-699-003-9200x964</t>
  </si>
  <si>
    <t>Smith, Walker and Jackson</t>
  </si>
  <si>
    <t>84921 Donald Ferry
North Matthewburgh, NV 11482</t>
  </si>
  <si>
    <t>Kennedychester</t>
  </si>
  <si>
    <t>868.068.0443</t>
  </si>
  <si>
    <t>Perez-Green</t>
  </si>
  <si>
    <t>Unit 1288 Box 5043
DPO AA 72184</t>
  </si>
  <si>
    <t>Lake Lauren</t>
  </si>
  <si>
    <t>+1-328-140-9873x0223</t>
  </si>
  <si>
    <t>Daniels-Kim</t>
  </si>
  <si>
    <t>002 Donald Glen Suite 515
Edwardschester, OR 44523</t>
  </si>
  <si>
    <t>East Angela</t>
  </si>
  <si>
    <t>787.621.3654x1971</t>
  </si>
  <si>
    <t>Bates, Owen and Wade</t>
  </si>
  <si>
    <t>37725 Robert Fields
Combshaven, NH 44196</t>
  </si>
  <si>
    <t>Jenniferview</t>
  </si>
  <si>
    <t>+1-368-625-0736x9988</t>
  </si>
  <si>
    <t>Blair-Randolph</t>
  </si>
  <si>
    <t>5884 Watson Road Suite 731
West Markstad, AR 53880</t>
  </si>
  <si>
    <t>Steventown</t>
  </si>
  <si>
    <t>(741)725-2742x04495</t>
  </si>
  <si>
    <t>Cole-Stein</t>
  </si>
  <si>
    <t>782 Flynn Plaza
North Francesburgh, KY 21221</t>
  </si>
  <si>
    <t>New Rachel</t>
  </si>
  <si>
    <t>(322)115-7175x12748</t>
  </si>
  <si>
    <t>Clark-Taylor</t>
  </si>
  <si>
    <t>32917 Lopez Coves Apt. 669
New Charles, PA 87343</t>
  </si>
  <si>
    <t>Smith, Wilson and Johnston</t>
  </si>
  <si>
    <t>1103 William Forks
South Deniseland, OH 08168</t>
  </si>
  <si>
    <t>Ericfort</t>
  </si>
  <si>
    <t>(553)986-1219x532</t>
  </si>
  <si>
    <t>Booker Ltd</t>
  </si>
  <si>
    <t>1780 Crystal Turnpike Suite 052
South Brandi, OH 87518</t>
  </si>
  <si>
    <t>South Russelltown</t>
  </si>
  <si>
    <t>001-391-794-1009x585</t>
  </si>
  <si>
    <t>Jones, Calderon and Finley</t>
  </si>
  <si>
    <t>213 Rodriguez Club Apt. 768
Murphyhaven, ND 27372</t>
  </si>
  <si>
    <t>Lake Vanessa</t>
  </si>
  <si>
    <t>001-277-343-9322x828</t>
  </si>
  <si>
    <t>Rosales-Stevens</t>
  </si>
  <si>
    <t>9093 Stephens Unions
Carterton, OK 67250</t>
  </si>
  <si>
    <t>Baldwinshire</t>
  </si>
  <si>
    <t>Shaw Group</t>
  </si>
  <si>
    <t>PSC 8369, Box 1372
APO AP 87487</t>
  </si>
  <si>
    <t>Lake Cathy</t>
  </si>
  <si>
    <t>+1-168-522-2184x289</t>
  </si>
  <si>
    <t>Nelson Ltd</t>
  </si>
  <si>
    <t>655 Debra Flats
South David, KY 13041</t>
  </si>
  <si>
    <t>New Thomasmouth</t>
  </si>
  <si>
    <t>(337)139-2882x85414</t>
  </si>
  <si>
    <t>Gonzales LLC</t>
  </si>
  <si>
    <t>63164 Patrick Trail Apt. 033
Davidville, MT 01979</t>
  </si>
  <si>
    <t>New Larry</t>
  </si>
  <si>
    <t>054-195-4248x7901</t>
  </si>
  <si>
    <t>Martinez and Sons</t>
  </si>
  <si>
    <t>48185 Jasmine Villages
Zimmermanhaven, MN 53468</t>
  </si>
  <si>
    <t>Johnport</t>
  </si>
  <si>
    <t>Townsend Inc</t>
  </si>
  <si>
    <t>39437 Alejandro Path Apt. 765
Olsonview, MS 29423</t>
  </si>
  <si>
    <t>East Emilyburgh</t>
  </si>
  <si>
    <t>001-820-820-2213x469</t>
  </si>
  <si>
    <t>Taylor-Matthews</t>
  </si>
  <si>
    <t>073 Cathy Trail Apt. 793
Nelsonfurt, NY 98042</t>
  </si>
  <si>
    <t>Lake Donna</t>
  </si>
  <si>
    <t>864-725-3991x8612</t>
  </si>
  <si>
    <t>Vega Ltd</t>
  </si>
  <si>
    <t>14352 Adkins Freeway Suite 515
South Katherineland, WV 05793</t>
  </si>
  <si>
    <t>Port Carrie</t>
  </si>
  <si>
    <t>829-056-6503x5701</t>
  </si>
  <si>
    <t>Young-Bennett</t>
  </si>
  <si>
    <t>407 Nathan Passage Suite 620
East Robert, NH 29961</t>
  </si>
  <si>
    <t>Meyersland</t>
  </si>
  <si>
    <t>001-345-350-3885</t>
  </si>
  <si>
    <t>Mitchell-Hunt</t>
  </si>
  <si>
    <t>113 Lacey Hollow Apt. 525
Harringtonmouth, ND 62225</t>
  </si>
  <si>
    <t>Richardfort</t>
  </si>
  <si>
    <t>036-179-5013x18052</t>
  </si>
  <si>
    <t>Smith-Wilkins</t>
  </si>
  <si>
    <t>219 Cook Mews Suite 667
Turnerbury, GA 42760</t>
  </si>
  <si>
    <t>West Phillip</t>
  </si>
  <si>
    <t>(577)557-7490x4585</t>
  </si>
  <si>
    <t>Wilkerson and Sons</t>
  </si>
  <si>
    <t>546 Krause Drive Suite 554
West Kristenborough, GA 43703</t>
  </si>
  <si>
    <t>West Dannyland</t>
  </si>
  <si>
    <t>337.240.9406</t>
  </si>
  <si>
    <t>Martin-Wright</t>
  </si>
  <si>
    <t>45525 Ronald Forks
Mauricestad, ID 75984</t>
  </si>
  <si>
    <t>Marcstad</t>
  </si>
  <si>
    <t>(870)723-3756x318</t>
  </si>
  <si>
    <t>Sanders-Hale</t>
  </si>
  <si>
    <t>41546 Frank Islands
Lake Reginaldberg, AR 06319</t>
  </si>
  <si>
    <t>Moralesside</t>
  </si>
  <si>
    <t>+1-625-938-4941x95891</t>
  </si>
  <si>
    <t>Warren Group</t>
  </si>
  <si>
    <t>1956 Moreno Plains Apt. 468
Trevorfort, LA 26796</t>
  </si>
  <si>
    <t>Port Donnaton</t>
  </si>
  <si>
    <t>756-246-6838x5142</t>
  </si>
  <si>
    <t>Wilson PLC</t>
  </si>
  <si>
    <t>6412 Suarez Meadow
Lake Frank, UT 86790</t>
  </si>
  <si>
    <t>Jonesport</t>
  </si>
  <si>
    <t>Davis, Cruz and Schaefer</t>
  </si>
  <si>
    <t>6913 Duarte Points Apt. 445
Ramosside, IL 10904</t>
  </si>
  <si>
    <t>Lake George</t>
  </si>
  <si>
    <t>Collins, Oconnor and Blake</t>
  </si>
  <si>
    <t>232 Pollard Shores
Donaldmouth, TX 19845</t>
  </si>
  <si>
    <t>Vazquezland</t>
  </si>
  <si>
    <t>001-491-899-7575x46954</t>
  </si>
  <si>
    <t>Boyd, Padilla and Simpson</t>
  </si>
  <si>
    <t>95686 Franco Mountains Suite 475
North Larry, WI 78578</t>
  </si>
  <si>
    <t>Morganhaven</t>
  </si>
  <si>
    <t>694-875-6150</t>
  </si>
  <si>
    <t>Adams-Young</t>
  </si>
  <si>
    <t>11551 Lisa Rapids
Lesterhaven, IA 88565</t>
  </si>
  <si>
    <t>Richchester</t>
  </si>
  <si>
    <t>Miller Inc</t>
  </si>
  <si>
    <t>338 Robertson Crossing
Monicaborough, AK 65253</t>
  </si>
  <si>
    <t>New Leslieport</t>
  </si>
  <si>
    <t>954-049-4239</t>
  </si>
  <si>
    <t>Chan PLC</t>
  </si>
  <si>
    <t>27777 Stephanie Plains
Jasonhaven, RI 35762</t>
  </si>
  <si>
    <t>North Brendaborough</t>
  </si>
  <si>
    <t>001-777-423-2427x587</t>
  </si>
  <si>
    <t>Spencer, Gibson and Arias</t>
  </si>
  <si>
    <t>04212 Gonzalez Shoals Suite 814
Stephenton, MO 69807</t>
  </si>
  <si>
    <t>Tammyside</t>
  </si>
  <si>
    <t>525.724.0172x690</t>
  </si>
  <si>
    <t>Phillips-Moore</t>
  </si>
  <si>
    <t>973 Timothy Springs Apt. 259
Lake Samanthaport, MA 95198</t>
  </si>
  <si>
    <t>Lake Monique</t>
  </si>
  <si>
    <t>583-316-8147</t>
  </si>
  <si>
    <t>Knox and Sons</t>
  </si>
  <si>
    <t>PSC 6513, Box 7743
APO AP 22827</t>
  </si>
  <si>
    <t>Port Matthew</t>
  </si>
  <si>
    <t>967.217.8511x139</t>
  </si>
  <si>
    <t>Barnes, Castro and Curtis</t>
  </si>
  <si>
    <t>0998 Mcintyre Row Apt. 105
North Crystal, KY 62420</t>
  </si>
  <si>
    <t>Zimmermanville</t>
  </si>
  <si>
    <t>507.577.7566</t>
  </si>
  <si>
    <t>8055 Angela Shoals
Joshuamouth, FL 70099</t>
  </si>
  <si>
    <t>Karentown</t>
  </si>
  <si>
    <t>Barron-Casey</t>
  </si>
  <si>
    <t>1514 Ward Extensions Apt. 499
Jasonmouth, SD 17571</t>
  </si>
  <si>
    <t>South Sarastad</t>
  </si>
  <si>
    <t>001-624-296-3440x099</t>
  </si>
  <si>
    <t>Gomez LLC</t>
  </si>
  <si>
    <t>388 Zuniga Trail Suite 934
Jodiburgh, DC 27839</t>
  </si>
  <si>
    <t>Carlborough</t>
  </si>
  <si>
    <t>087-853-4529x913</t>
  </si>
  <si>
    <t>Green LLC</t>
  </si>
  <si>
    <t>898 Michael Mall
East Randy, RI 35381</t>
  </si>
  <si>
    <t>Meganshire</t>
  </si>
  <si>
    <t>659-948-4636</t>
  </si>
  <si>
    <t>Owens-Johnson</t>
  </si>
  <si>
    <t>1058 Kimberly Locks
Port Emily, IL 57473</t>
  </si>
  <si>
    <t>Port Troychester</t>
  </si>
  <si>
    <t>(051)220-5307x61376</t>
  </si>
  <si>
    <t>Cole LLC</t>
  </si>
  <si>
    <t>USS Zhang
FPO AP 50279</t>
  </si>
  <si>
    <t>North Destiny</t>
  </si>
  <si>
    <t>001-078-379-8075x2377</t>
  </si>
  <si>
    <t>Waters-Bass</t>
  </si>
  <si>
    <t>1890 Jeremy Road Suite 876
Robertborough, DC 41078</t>
  </si>
  <si>
    <t>West Stephen</t>
  </si>
  <si>
    <t>708.632.3778x183</t>
  </si>
  <si>
    <t>Cook Inc</t>
  </si>
  <si>
    <t>2181 Heather Plain
Millerville, NJ 64347</t>
  </si>
  <si>
    <t>+1-439-023-8330x00528</t>
  </si>
  <si>
    <t>Maddox PLC</t>
  </si>
  <si>
    <t>20566 Aguilar Road Suite 772
New David, FL 55621</t>
  </si>
  <si>
    <t>West Tylerberg</t>
  </si>
  <si>
    <t>Freeman, Decker and Johnson</t>
  </si>
  <si>
    <t>6294 Gregory Throughway Suite 517
West Marychester, NM 35832</t>
  </si>
  <si>
    <t>North Nathan</t>
  </si>
  <si>
    <t>290-849-5446x412</t>
  </si>
  <si>
    <t>Mclean, Lopez and Stephens</t>
  </si>
  <si>
    <t>1800 Robert Drive
West Shannonton, GA 52400</t>
  </si>
  <si>
    <t>Shawnborough</t>
  </si>
  <si>
    <t>357.864.2606x99209</t>
  </si>
  <si>
    <t>Love-Montgomery</t>
  </si>
  <si>
    <t>36635 Lang Fords Apt. 863
South James, FL 70248</t>
  </si>
  <si>
    <t>Collinsmouth</t>
  </si>
  <si>
    <t>164-269-8070</t>
  </si>
  <si>
    <t>Torres-Dunlap</t>
  </si>
  <si>
    <t>Unit 1623 Box 5952
DPO AA 55518</t>
  </si>
  <si>
    <t>057.342.1300x473</t>
  </si>
  <si>
    <t>Kelly, Cummings and Ward</t>
  </si>
  <si>
    <t>Unit 4632 Box 7131
DPO AP 21204</t>
  </si>
  <si>
    <t>Allenton</t>
  </si>
  <si>
    <t>795.078.7850</t>
  </si>
  <si>
    <t>Williams-Manning</t>
  </si>
  <si>
    <t>99495 Cook Fork Apt. 475
North David, WA 68629</t>
  </si>
  <si>
    <t>Port Kendraborough</t>
  </si>
  <si>
    <t>001-050-248-0430x1092</t>
  </si>
  <si>
    <t>Dickerson, Mason and Lyons</t>
  </si>
  <si>
    <t>88934 Alexander Loaf Apt. 456
West Jason, IN 36932</t>
  </si>
  <si>
    <t>Kimberlychester</t>
  </si>
  <si>
    <t>(339)492-9049x5615</t>
  </si>
  <si>
    <t>Cross and Sons</t>
  </si>
  <si>
    <t>0635 Kathy Mountain Suite 592
Griffithville, CT 03000</t>
  </si>
  <si>
    <t>Petersonburgh</t>
  </si>
  <si>
    <t>Morris, Mcpherson and Edwards</t>
  </si>
  <si>
    <t>2570 Frost Green Apt. 854
West Rachel, MA 88616</t>
  </si>
  <si>
    <t>Robertshire</t>
  </si>
  <si>
    <t>526.766.1952x181</t>
  </si>
  <si>
    <t>Smith LLC</t>
  </si>
  <si>
    <t>0172 Andrew Mall Suite 480
Lake Karaland, MA 41959</t>
  </si>
  <si>
    <t>New Josemouth</t>
  </si>
  <si>
    <t>Moore-Flowers</t>
  </si>
  <si>
    <t>57451 Davis Port Apt. 531
East John, CT 19104</t>
  </si>
  <si>
    <t>Clarkberg</t>
  </si>
  <si>
    <t>(256)326-8681x6129</t>
  </si>
  <si>
    <t>Willis-Luna</t>
  </si>
  <si>
    <t>3122 Torres Stravenue
Ramosborough, AZ 89701</t>
  </si>
  <si>
    <t>001-178-628-5939</t>
  </si>
  <si>
    <t>Gross and Sons</t>
  </si>
  <si>
    <t>PSC 7998, Box 2478
APO AE 45856</t>
  </si>
  <si>
    <t>Murphyberg</t>
  </si>
  <si>
    <t>001-199-056-3101x42375</t>
  </si>
  <si>
    <t>Hopkins, Mora and Green</t>
  </si>
  <si>
    <t>036 Valerie Land
Garzashire, WI 83113</t>
  </si>
  <si>
    <t>North Katelynland</t>
  </si>
  <si>
    <t>001-965-519-2456x24569</t>
  </si>
  <si>
    <t>Jenkins-Hughes</t>
  </si>
  <si>
    <t>70040 Nicholas Tunnel Suite 144
Port Gwendolyn, UT 81199</t>
  </si>
  <si>
    <t>New Jason</t>
  </si>
  <si>
    <t>295-810-0522x881</t>
  </si>
  <si>
    <t>Chan Group</t>
  </si>
  <si>
    <t>5632 Katie Forks Suite 162
West Markfurt, AR 19503</t>
  </si>
  <si>
    <t>Sarahland</t>
  </si>
  <si>
    <t>+1-119-104-8140x852</t>
  </si>
  <si>
    <t>Chang, Estrada and Peters</t>
  </si>
  <si>
    <t>86159 Mark Track Suite 676
Turnermouth, IA 56857</t>
  </si>
  <si>
    <t>East Annshire</t>
  </si>
  <si>
    <t>Williams Inc</t>
  </si>
  <si>
    <t>8908 Rich Road
Marvinfurt, MT 26167</t>
  </si>
  <si>
    <t>Latoyaberg</t>
  </si>
  <si>
    <t>(031)347-8261</t>
  </si>
  <si>
    <t>Mendez, Jones and Montgomery</t>
  </si>
  <si>
    <t>530 Michael View
Burtonview, NJ 13987</t>
  </si>
  <si>
    <t>New Kevintown</t>
  </si>
  <si>
    <t>Whitney-Fields</t>
  </si>
  <si>
    <t>643 Morgan Rapids Apt. 181
Lake Susan, RI 01256</t>
  </si>
  <si>
    <t>East Lisa</t>
  </si>
  <si>
    <t>399-479-4880x0272</t>
  </si>
  <si>
    <t>Trevino Ltd</t>
  </si>
  <si>
    <t>5019 Johnson Extensions Suite 914
Harrismouth, KS 80788</t>
  </si>
  <si>
    <t>Heathermouth</t>
  </si>
  <si>
    <t>022.305.4697x8681</t>
  </si>
  <si>
    <t>Carson, Hernandez and Sherman</t>
  </si>
  <si>
    <t>104 Cooper Roads Apt. 707
Jenkinsfurt, AZ 27878</t>
  </si>
  <si>
    <t>Nathanielbury</t>
  </si>
  <si>
    <t>174-998-7187x9074</t>
  </si>
  <si>
    <t>Hunter, Bell and Griffin</t>
  </si>
  <si>
    <t>146 Jonathan Skyway Apt. 608
Williamsland, MD 48062</t>
  </si>
  <si>
    <t>Port Jillian</t>
  </si>
  <si>
    <t>(208)474-0382x28468</t>
  </si>
  <si>
    <t>Nelson and Sons</t>
  </si>
  <si>
    <t>9591 Hess Terrace
New Kylie, NV 59106</t>
  </si>
  <si>
    <t>East Joseph</t>
  </si>
  <si>
    <t>001-606-385-9319x781</t>
  </si>
  <si>
    <t>Mathews-Harrison</t>
  </si>
  <si>
    <t>2849 Harris Views
Suarezberg, AZ 03015</t>
  </si>
  <si>
    <t>West Matthew</t>
  </si>
  <si>
    <t>278.410.3369x739</t>
  </si>
  <si>
    <t>Mueller, Savage and Hudson</t>
  </si>
  <si>
    <t>959 Joseph Square Apt. 513
Lake Jennifer, IL 84011</t>
  </si>
  <si>
    <t>(995)505-1664</t>
  </si>
  <si>
    <t>Oliver, Ross and Johnson</t>
  </si>
  <si>
    <t>24971 Stephanie Manors Suite 735
East Jessemouth, SD 28563</t>
  </si>
  <si>
    <t>Davidville</t>
  </si>
  <si>
    <t>001-179-898-4092</t>
  </si>
  <si>
    <t>Andrade, Gross and Wallace</t>
  </si>
  <si>
    <t>USNS Brewer
FPO AE 48783</t>
  </si>
  <si>
    <t>Fisherstad</t>
  </si>
  <si>
    <t>001-127-426-5890x378</t>
  </si>
  <si>
    <t>Morgan-Blackwell</t>
  </si>
  <si>
    <t>5801 Duncan Shoals
West Rachel, TX 93833</t>
  </si>
  <si>
    <t>Colemanton</t>
  </si>
  <si>
    <t>(254)215-9233</t>
  </si>
  <si>
    <t>Ingram PLC</t>
  </si>
  <si>
    <t>270 Suzanne Mountain
East Jason, FL 72390</t>
  </si>
  <si>
    <t>South Jeffery</t>
  </si>
  <si>
    <t>363-940-3078x14194</t>
  </si>
  <si>
    <t>Carroll-Stanley</t>
  </si>
  <si>
    <t>Unit 2028 Box 0350
DPO AP 33410</t>
  </si>
  <si>
    <t>West Omarside</t>
  </si>
  <si>
    <t>849.339.1687x68179</t>
  </si>
  <si>
    <t>Rodriguez LLC</t>
  </si>
  <si>
    <t>32957 Davis Squares Apt. 352
Port Teresa, TX 28764</t>
  </si>
  <si>
    <t>East Williamshire</t>
  </si>
  <si>
    <t>001-157-833-7008x08964</t>
  </si>
  <si>
    <t>Patterson Inc</t>
  </si>
  <si>
    <t>440 Donald Corner Apt. 571
Sandraberg, VA 54153</t>
  </si>
  <si>
    <t>Jeffreyport</t>
  </si>
  <si>
    <t>019.231.7207</t>
  </si>
  <si>
    <t>Chandler-Roberts</t>
  </si>
  <si>
    <t>0090 Jerry Viaduct
Lake Suzannechester, GA 84592</t>
  </si>
  <si>
    <t>Richardsonhaven</t>
  </si>
  <si>
    <t>(671)036-0993x233</t>
  </si>
  <si>
    <t>Cook, Jackson and Griffith</t>
  </si>
  <si>
    <t>45823 Wright Point Apt. 175
Morrowbury, SC 14712</t>
  </si>
  <si>
    <t>West Tinamouth</t>
  </si>
  <si>
    <t>496.170.0536x12668</t>
  </si>
  <si>
    <t>Burns-Smith</t>
  </si>
  <si>
    <t>337 Leblanc Lodge Apt. 412
Markburgh, NM 79330</t>
  </si>
  <si>
    <t>Woodward-Jensen</t>
  </si>
  <si>
    <t>USCGC Ewing
FPO AP 42279</t>
  </si>
  <si>
    <t>Lesterstad</t>
  </si>
  <si>
    <t>432-670-6542x60306</t>
  </si>
  <si>
    <t>Dixon LLC</t>
  </si>
  <si>
    <t>11321 Nicholas Estates Suite 016
Leeland, LA 25575</t>
  </si>
  <si>
    <t>North Ebony</t>
  </si>
  <si>
    <t>+1-283-422-5540x00555</t>
  </si>
  <si>
    <t>Walsh-Jones</t>
  </si>
  <si>
    <t>1201 Jesus Port
West Alicia, MI 39222</t>
  </si>
  <si>
    <t>Sandersshire</t>
  </si>
  <si>
    <t>327-092-6148</t>
  </si>
  <si>
    <t>Herrera, Clark and Brown</t>
  </si>
  <si>
    <t>USNS Moore
FPO AE 50173</t>
  </si>
  <si>
    <t>Durhamchester</t>
  </si>
  <si>
    <t>840-466-6667x82987</t>
  </si>
  <si>
    <t>Yates-Avery</t>
  </si>
  <si>
    <t>7398 Arnold Parkways Suite 894
South Anthony, NC 58831</t>
  </si>
  <si>
    <t>Scotthaven</t>
  </si>
  <si>
    <t>410.531.7418</t>
  </si>
  <si>
    <t>Hayes Inc</t>
  </si>
  <si>
    <t>196 Emma Ville
South Lisaside, CT 21368</t>
  </si>
  <si>
    <t>West Kara</t>
  </si>
  <si>
    <t>423-402-5949x4533</t>
  </si>
  <si>
    <t>Sanchez-Cummings</t>
  </si>
  <si>
    <t>39631 Bruce Unions
Kaitlynside, NM 86509</t>
  </si>
  <si>
    <t>Lake Xavierburgh</t>
  </si>
  <si>
    <t>280-986-1102x593</t>
  </si>
  <si>
    <t>962 Carla Villages Suite 460
North Johnstad, WV 97942</t>
  </si>
  <si>
    <t>001-124-313-6789x492</t>
  </si>
  <si>
    <t>Pugh Group</t>
  </si>
  <si>
    <t>53593 Andrew Vista Apt. 903
Martinfurt, KY 87501</t>
  </si>
  <si>
    <t>Garzaville</t>
  </si>
  <si>
    <t>+1-089-261-9866x15160</t>
  </si>
  <si>
    <t>51806 Natalie Throughway Apt. 212
South Alyssa, MA 55906</t>
  </si>
  <si>
    <t>North Lisamouth</t>
  </si>
  <si>
    <t>+1-199-421-8051x664</t>
  </si>
  <si>
    <t>Sullivan-Golden</t>
  </si>
  <si>
    <t>272 Linda Drives
Avilaland, AK 39073</t>
  </si>
  <si>
    <t>Port John</t>
  </si>
  <si>
    <t>101.936.1050x09281</t>
  </si>
  <si>
    <t>Perry, Perez and Carter</t>
  </si>
  <si>
    <t>178 Randy Fords
East Chadton, TX 86183</t>
  </si>
  <si>
    <t>Cameronside</t>
  </si>
  <si>
    <t>085.588.5857</t>
  </si>
  <si>
    <t>Hunt, Lee and Winters</t>
  </si>
  <si>
    <t>310 James Locks Suite 685
Chenfurt, OK 58448</t>
  </si>
  <si>
    <t>Derekland</t>
  </si>
  <si>
    <t>USCGC Meyer
FPO AP 46538</t>
  </si>
  <si>
    <t>Jimmyberg</t>
  </si>
  <si>
    <t>694.134.6616x8811</t>
  </si>
  <si>
    <t>Henry PLC</t>
  </si>
  <si>
    <t>10897 Duncan Manors Apt. 117
Whitneyshire, IA 92311</t>
  </si>
  <si>
    <t>South Tiffanyfort</t>
  </si>
  <si>
    <t>104.576.7855x2145</t>
  </si>
  <si>
    <t>Carpenter-Wright</t>
  </si>
  <si>
    <t>2253 Paul Circles
Taylorland, CA 85679</t>
  </si>
  <si>
    <t>Davidland</t>
  </si>
  <si>
    <t>001-482-381-7341x4903</t>
  </si>
  <si>
    <t>Collins Inc</t>
  </si>
  <si>
    <t>40526 Arthur Summit
Fernandofurt, DC 13182</t>
  </si>
  <si>
    <t>North Ravenfurt</t>
  </si>
  <si>
    <t>+1-871-495-2866x10181</t>
  </si>
  <si>
    <t>Callahan-Olsen</t>
  </si>
  <si>
    <t>Unit 8901 Box 2688
DPO AP 76819</t>
  </si>
  <si>
    <t>East Lori</t>
  </si>
  <si>
    <t>479-524-3396x53216</t>
  </si>
  <si>
    <t>Little-Novak</t>
  </si>
  <si>
    <t>3955 Kerri Wall Suite 470
South Juan, OH 39390</t>
  </si>
  <si>
    <t>Michellechester</t>
  </si>
  <si>
    <t>827.194.9818x2685</t>
  </si>
  <si>
    <t>Rowe PLC</t>
  </si>
  <si>
    <t>1614 Mayo Stravenue
Kaiserville, AR 87652</t>
  </si>
  <si>
    <t>Lake Donaldchester</t>
  </si>
  <si>
    <t>+1-845-011-4333x510</t>
  </si>
  <si>
    <t>Morris, Mcintyre and Austin</t>
  </si>
  <si>
    <t>9972 Katherine Pike Apt. 731
Mendozaborough, ND 13509</t>
  </si>
  <si>
    <t>Port Lesliebury</t>
  </si>
  <si>
    <t>001-095-950-5858</t>
  </si>
  <si>
    <t>Davis-Lutz</t>
  </si>
  <si>
    <t>57240 Jennifer Port
Port Aaronland, SC 20896</t>
  </si>
  <si>
    <t>New Joshuamouth</t>
  </si>
  <si>
    <t>(598)537-6895x39918</t>
  </si>
  <si>
    <t>Caldwell PLC</t>
  </si>
  <si>
    <t>07281 Daniel Viaduct
Gabrielmouth, OK 76168</t>
  </si>
  <si>
    <t>Jeffreyshire</t>
  </si>
  <si>
    <t>+1-608-327-2565x3004</t>
  </si>
  <si>
    <t>Ortega-Webb</t>
  </si>
  <si>
    <t>62621 Mikayla Hollow Suite 797
Melendezview, ME 58412</t>
  </si>
  <si>
    <t>West Billborough</t>
  </si>
  <si>
    <t>001-646-036-9173x42885</t>
  </si>
  <si>
    <t>Hopkins and Sons</t>
  </si>
  <si>
    <t>PSC 9032, Box 8873
APO AA 93892</t>
  </si>
  <si>
    <t>Lake Lisa</t>
  </si>
  <si>
    <t>(258)062-6080x783</t>
  </si>
  <si>
    <t>Bailey, Burke and Green</t>
  </si>
  <si>
    <t>738 Reed Branch Suite 823
Williamsfurt, MO 25272</t>
  </si>
  <si>
    <t>Estradafort</t>
  </si>
  <si>
    <t>(190)730-8257</t>
  </si>
  <si>
    <t>Williams, Simpson and Waters</t>
  </si>
  <si>
    <t>6223 Bailey Knoll Suite 714
North Natashatown, IL 23650</t>
  </si>
  <si>
    <t>Salinasville</t>
  </si>
  <si>
    <t>Fox Inc</t>
  </si>
  <si>
    <t>4029 Peter Locks
Fisherstad, UT 42054</t>
  </si>
  <si>
    <t>New Heidi</t>
  </si>
  <si>
    <t>623-439-6993</t>
  </si>
  <si>
    <t>West-Reilly</t>
  </si>
  <si>
    <t>756 Megan Ranch Apt. 775
Port Jeffery, IL 94423</t>
  </si>
  <si>
    <t>Lake Jaclyn</t>
  </si>
  <si>
    <t>573.885.9975x59706</t>
  </si>
  <si>
    <t>Sanders and Sons</t>
  </si>
  <si>
    <t>0805 Nicholas Oval Suite 499
New Randy, WI 52774</t>
  </si>
  <si>
    <t>North Catherine</t>
  </si>
  <si>
    <t>+1-308-986-2848x196</t>
  </si>
  <si>
    <t>Ferguson, Henderson and Watson</t>
  </si>
  <si>
    <t>89711 Cassandra Overpass
Williamchester, AZ 28267</t>
  </si>
  <si>
    <t>North Mariahchester</t>
  </si>
  <si>
    <t>351-379-8297x4923</t>
  </si>
  <si>
    <t>Reynolds Group</t>
  </si>
  <si>
    <t>7279 Joseph Ramp
Port Shawnborough, GA 33669</t>
  </si>
  <si>
    <t>New Connorfort</t>
  </si>
  <si>
    <t>Reid-Johnson</t>
  </si>
  <si>
    <t>3607 Williams Canyon Suite 553
East Marcmouth, DC 84269</t>
  </si>
  <si>
    <t>Anthonyhaven</t>
  </si>
  <si>
    <t>071-461-6662x422</t>
  </si>
  <si>
    <t>Stevens-Lopez</t>
  </si>
  <si>
    <t>52096 Jeremy Place
Ambertown, AL 54808</t>
  </si>
  <si>
    <t>Peterhaven</t>
  </si>
  <si>
    <t>234.858.2605x778</t>
  </si>
  <si>
    <t>Osborne LLC</t>
  </si>
  <si>
    <t>448 Thompson Creek
West Diane, WV 52163</t>
  </si>
  <si>
    <t>Lake Jasmin</t>
  </si>
  <si>
    <t>+1-340-436-8105x510</t>
  </si>
  <si>
    <t>Gonzalez, Dunn and Oconnell</t>
  </si>
  <si>
    <t>778 Richard Glen Suite 654
Cassandrafort, CA 25549</t>
  </si>
  <si>
    <t>Williamsmouth</t>
  </si>
  <si>
    <t>+1-605-449-8141x1518</t>
  </si>
  <si>
    <t>Ruiz-Oneal</t>
  </si>
  <si>
    <t>934 Kelsey Shoals
Tiffanyburgh, IL 56636</t>
  </si>
  <si>
    <t>Lake Travis</t>
  </si>
  <si>
    <t>(569)363-0118</t>
  </si>
  <si>
    <t>Owens, Johnson and Anderson</t>
  </si>
  <si>
    <t>1837 Johnson Forest
Davisberg, CA 26735</t>
  </si>
  <si>
    <t>Lake Gary</t>
  </si>
  <si>
    <t>849.051.1399x70295</t>
  </si>
  <si>
    <t>Chavez-Grimes</t>
  </si>
  <si>
    <t>507 Johnson View
Garnerville, GA 24621</t>
  </si>
  <si>
    <t>Hillburgh</t>
  </si>
  <si>
    <t>001-831-449-3638x4631</t>
  </si>
  <si>
    <t>Todd-Jackson</t>
  </si>
  <si>
    <t>184 Gregory Fort Apt. 518
North Glenn, OR 97758</t>
  </si>
  <si>
    <t>Darrellfurt</t>
  </si>
  <si>
    <t>460.659.0802</t>
  </si>
  <si>
    <t>Clark Inc</t>
  </si>
  <si>
    <t>896 April Underpass Apt. 635
Camachoberg, OK 17853</t>
  </si>
  <si>
    <t>Leonardborough</t>
  </si>
  <si>
    <t>260.187.2522x030</t>
  </si>
  <si>
    <t>Pratt Ltd</t>
  </si>
  <si>
    <t>2440 Bauer Drive
Wellsstad, PA 54419</t>
  </si>
  <si>
    <t>Christinetown</t>
  </si>
  <si>
    <t>001-318-035-8959x2452</t>
  </si>
  <si>
    <t>Davis, Hardin and Merritt</t>
  </si>
  <si>
    <t>USNV Calderon
FPO AP 80186</t>
  </si>
  <si>
    <t>Jimmymouth</t>
  </si>
  <si>
    <t>864.590.0521x094</t>
  </si>
  <si>
    <t>Scott and Sons</t>
  </si>
  <si>
    <t>320 Justin Centers Apt. 436
West Carrieside, ND 53538</t>
  </si>
  <si>
    <t>Maysside</t>
  </si>
  <si>
    <t>001-085-825-1185x328</t>
  </si>
  <si>
    <t>Collins, Hughes and Palmer</t>
  </si>
  <si>
    <t>28395 Mueller Cliffs Apt. 231
Lake Kelly, MN 69836</t>
  </si>
  <si>
    <t>South Kellyland</t>
  </si>
  <si>
    <t>001-724-756-5697x7877</t>
  </si>
  <si>
    <t>Mcdonald-Howell</t>
  </si>
  <si>
    <t>93955 Mann Pines
Port Stevenbury, PA 67605</t>
  </si>
  <si>
    <t>North James</t>
  </si>
  <si>
    <t>504-183-2400x84016</t>
  </si>
  <si>
    <t>Chen, Walker and Fisher</t>
  </si>
  <si>
    <t>1585 Price Mountains Apt. 462
Port Jessicashire, GA 79191</t>
  </si>
  <si>
    <t>Pamelaburgh</t>
  </si>
  <si>
    <t>001-121-682-5654x2822</t>
  </si>
  <si>
    <t>Rodriguez, Robinson and Conway</t>
  </si>
  <si>
    <t>4059 Jenkins Ports Suite 961
North Colleen, AZ 95737</t>
  </si>
  <si>
    <t>Holtmouth</t>
  </si>
  <si>
    <t>835.650.9674</t>
  </si>
  <si>
    <t>Valenzuela-Garrett</t>
  </si>
  <si>
    <t>824 Harold Heights
Evansborough, MA 43364</t>
  </si>
  <si>
    <t>Lake Cheryl</t>
  </si>
  <si>
    <t>+1-552-433-1217x647</t>
  </si>
  <si>
    <t>Obrien, King and Robinson</t>
  </si>
  <si>
    <t>560 Diane Place
North Carla, SC 62821</t>
  </si>
  <si>
    <t>Youngchester</t>
  </si>
  <si>
    <t>+1-513-264-8229x419</t>
  </si>
  <si>
    <t>Rocha, Johnson and Dunlap</t>
  </si>
  <si>
    <t>31552 Jodi Motorway Suite 547
Allenport, AR 98936</t>
  </si>
  <si>
    <t>South Andrewport</t>
  </si>
  <si>
    <t>Salazar PLC</t>
  </si>
  <si>
    <t>384 Allison Ports
North Rachel, CT 22924</t>
  </si>
  <si>
    <t>Raybury</t>
  </si>
  <si>
    <t>180-591-9657x697</t>
  </si>
  <si>
    <t>Avery PLC</t>
  </si>
  <si>
    <t>679 Quinn Rapid Apt. 934
Joyborough, WY 99210</t>
  </si>
  <si>
    <t>Amandashire</t>
  </si>
  <si>
    <t>589.122.1214x989</t>
  </si>
  <si>
    <t>Fox-Perez</t>
  </si>
  <si>
    <t>Unit 3530 Box 4051
DPO AA 84294</t>
  </si>
  <si>
    <t>Hayesville</t>
  </si>
  <si>
    <t>(418)506-2217x0513</t>
  </si>
  <si>
    <t>Bishop-Singleton</t>
  </si>
  <si>
    <t>076 Matthew Center
South Jasonbury, NH 86592</t>
  </si>
  <si>
    <t>001-687-501-8347x2632</t>
  </si>
  <si>
    <t>Rodriguez, Thomas and Foster</t>
  </si>
  <si>
    <t>792 Mathews Course Suite 808
Kevinmouth, MD 24910</t>
  </si>
  <si>
    <t>Padillatown</t>
  </si>
  <si>
    <t>564-331-0431</t>
  </si>
  <si>
    <t>Hawkins-Novak</t>
  </si>
  <si>
    <t>2372 Jessica Lake
Lake Tamara, NY 49712</t>
  </si>
  <si>
    <t>Phillipsmouth</t>
  </si>
  <si>
    <t>961.144.7736x679</t>
  </si>
  <si>
    <t>Carr Group</t>
  </si>
  <si>
    <t>1873 Jeffrey Prairie Suite 484
North Chadmouth, OH 55679</t>
  </si>
  <si>
    <t>+1-334-811-0634x6842</t>
  </si>
  <si>
    <t>Webster and Sons</t>
  </si>
  <si>
    <t>9427 Jones Ridges Suite 824
South Brendan, CT 19533</t>
  </si>
  <si>
    <t>Morriston</t>
  </si>
  <si>
    <t>161.555.4218x17236</t>
  </si>
  <si>
    <t>Pearson-Barry</t>
  </si>
  <si>
    <t>9596 Adam Trail Apt. 428
Lake Christopherburgh, TX 14456</t>
  </si>
  <si>
    <t>Browntown</t>
  </si>
  <si>
    <t>+1-132-394-9769x75463</t>
  </si>
  <si>
    <t>Moreno-Melton</t>
  </si>
  <si>
    <t>88171 Teresa Station
New Shane, UT 53712</t>
  </si>
  <si>
    <t>Lake Mistyton</t>
  </si>
  <si>
    <t>001-098-297-7862x776</t>
  </si>
  <si>
    <t>Pierce Group</t>
  </si>
  <si>
    <t>87040 Smith Lodge
New Robertbury, DE 31100</t>
  </si>
  <si>
    <t>Lake Jamestown</t>
  </si>
  <si>
    <t>+1-843-457-7096x3283</t>
  </si>
  <si>
    <t>Bush-Murray</t>
  </si>
  <si>
    <t>2389 Evans Courts
East Laurabury, MS 75092</t>
  </si>
  <si>
    <t>Galvanfurt</t>
  </si>
  <si>
    <t>799.618.3759x874</t>
  </si>
  <si>
    <t>Brown-Stephens</t>
  </si>
  <si>
    <t>61032 Espinoza Road
East Ronaldburgh, IA 34355</t>
  </si>
  <si>
    <t>East Robert</t>
  </si>
  <si>
    <t>119.114.6136x472</t>
  </si>
  <si>
    <t>Hughes PLC</t>
  </si>
  <si>
    <t>94788 Garcia Ports Suite 459
West Michellestad, MT 79129</t>
  </si>
  <si>
    <t>Sarahview</t>
  </si>
  <si>
    <t>556.413.4567x3854</t>
  </si>
  <si>
    <t>Peterson, Lee and Moore</t>
  </si>
  <si>
    <t>439 Dana Vista
North Tracyton, TN 34903</t>
  </si>
  <si>
    <t>Laurietown</t>
  </si>
  <si>
    <t>710-623-8778x66342</t>
  </si>
  <si>
    <t>Cruz-Morrow</t>
  </si>
  <si>
    <t>278 Kevin Vista Suite 607
Jessicaville, NE 43011</t>
  </si>
  <si>
    <t>West Elizabethport</t>
  </si>
  <si>
    <t>537-625-7293x22343</t>
  </si>
  <si>
    <t>Barry Group</t>
  </si>
  <si>
    <t>632 Wong Place
West Shane, CO 27966</t>
  </si>
  <si>
    <t>South Kathryn</t>
  </si>
  <si>
    <t>+1-533-592-0009x5523</t>
  </si>
  <si>
    <t>Adams-Meyer</t>
  </si>
  <si>
    <t>61134 Steve Expressway
New Cindy, SC 37620</t>
  </si>
  <si>
    <t>Mikaylachester</t>
  </si>
  <si>
    <t>+1-334-757-0819x808</t>
  </si>
  <si>
    <t>Jenkins Group</t>
  </si>
  <si>
    <t>7213 Johnson Glen Suite 222
North Lauren, NY 58260</t>
  </si>
  <si>
    <t>Lake Larry</t>
  </si>
  <si>
    <t>001-493-150-3730x13002</t>
  </si>
  <si>
    <t>Payne Inc</t>
  </si>
  <si>
    <t>9339 Jackson Spur
Williamsshire, ID 32726</t>
  </si>
  <si>
    <t>Huberstad</t>
  </si>
  <si>
    <t>001-148-921-4043x467</t>
  </si>
  <si>
    <t>Bell-Newman</t>
  </si>
  <si>
    <t>59464 Conner Lake
North Gracechester, AR 71191</t>
  </si>
  <si>
    <t>Smithmouth</t>
  </si>
  <si>
    <t>(239)435-1256</t>
  </si>
  <si>
    <t>Ramos Group</t>
  </si>
  <si>
    <t>2242 Olivia Grove
Haileymouth, NH 71518</t>
  </si>
  <si>
    <t>North William</t>
  </si>
  <si>
    <t>727-987-0431x177</t>
  </si>
  <si>
    <t>Reyes-Stewart</t>
  </si>
  <si>
    <t>PSC 8297, Box 4959
APO AA 73797</t>
  </si>
  <si>
    <t>South Jason</t>
  </si>
  <si>
    <t>550-821-0945</t>
  </si>
  <si>
    <t>Wright-Hogan</t>
  </si>
  <si>
    <t>67942 Butler Stream Apt. 519
West Terrichester, NV 43420</t>
  </si>
  <si>
    <t>North Ryan</t>
  </si>
  <si>
    <t>001-280-488-8210x18348</t>
  </si>
  <si>
    <t>Shepherd and Sons</t>
  </si>
  <si>
    <t>533 Peters Locks Suite 995
West Mindyhaven, MS 87079</t>
  </si>
  <si>
    <t>Pamelaberg</t>
  </si>
  <si>
    <t>Livingston Inc</t>
  </si>
  <si>
    <t>451 Smith Orchard Suite 751
East Rebecca, VA 23186</t>
  </si>
  <si>
    <t>Port Victoria</t>
  </si>
  <si>
    <t>Graham PLC</t>
  </si>
  <si>
    <t>718 Christina Fall
New Martinville, WV 97137</t>
  </si>
  <si>
    <t>East Cynthia</t>
  </si>
  <si>
    <t>743.262.1457x01922</t>
  </si>
  <si>
    <t>Page, Smith and Davis</t>
  </si>
  <si>
    <t>065 Mary Estate Apt. 886
North Jessica, NY 33169</t>
  </si>
  <si>
    <t>Francisshire</t>
  </si>
  <si>
    <t>921-470-8846x3047</t>
  </si>
  <si>
    <t>Randolph-Bauer</t>
  </si>
  <si>
    <t>117 Kayla Ramp Suite 638
Jenniferstad, MS 30328</t>
  </si>
  <si>
    <t>Port Staceymouth</t>
  </si>
  <si>
    <t>Young-Luna</t>
  </si>
  <si>
    <t>42661 Harris Motorway Apt. 610
Garrettville, OH 22338</t>
  </si>
  <si>
    <t>Linchester</t>
  </si>
  <si>
    <t>001-367-389-8038x71593</t>
  </si>
  <si>
    <t>Butler-Phillips</t>
  </si>
  <si>
    <t>USNV Gordon
FPO AP 25294</t>
  </si>
  <si>
    <t>Jessicaland</t>
  </si>
  <si>
    <t>+1-366-362-7376x557</t>
  </si>
  <si>
    <t>7872 Davis Corners Apt. 807
East Christopherhaven, MO 74535</t>
  </si>
  <si>
    <t>Port Juliafort</t>
  </si>
  <si>
    <t>+1-901-692-0561x8582</t>
  </si>
  <si>
    <t>Nguyen, Chan and Brown</t>
  </si>
  <si>
    <t>6755 Lindsay Port
Allenland, LA 52111</t>
  </si>
  <si>
    <t>New Evanport</t>
  </si>
  <si>
    <t>747-692-4848x020</t>
  </si>
  <si>
    <t>Hancock-Jackson</t>
  </si>
  <si>
    <t>75914 Smith Freeway
Burnsshire, KS 10093</t>
  </si>
  <si>
    <t>Shortfurt</t>
  </si>
  <si>
    <t>001-769-864-0777x950</t>
  </si>
  <si>
    <t>Rowe-Chen</t>
  </si>
  <si>
    <t>304 Leslie Key
Middletonfurt, IN 01285</t>
  </si>
  <si>
    <t>Aguirreville</t>
  </si>
  <si>
    <t>Cruz and Sons</t>
  </si>
  <si>
    <t>844 Smith Inlet
Christinechester, OH 87700</t>
  </si>
  <si>
    <t>South Allison</t>
  </si>
  <si>
    <t>(169)675-2870x74675</t>
  </si>
  <si>
    <t>Bennett Inc</t>
  </si>
  <si>
    <t>699 Ricardo Knoll
Jeffreyside, CT 99334</t>
  </si>
  <si>
    <t>Lake Nathan</t>
  </si>
  <si>
    <t>+1-440-639-2296x544</t>
  </si>
  <si>
    <t>Arroyo-Henderson</t>
  </si>
  <si>
    <t>5364 Young Radial Apt. 906
Lake Kelly, NH 41322</t>
  </si>
  <si>
    <t>Benjaminstad</t>
  </si>
  <si>
    <t>(313)019-6078x8326</t>
  </si>
  <si>
    <t>Ayers-Lewis</t>
  </si>
  <si>
    <t>908 Frazier Estates
West Travis, KY 18812</t>
  </si>
  <si>
    <t>East Christophertown</t>
  </si>
  <si>
    <t>001-823-662-3501x58107</t>
  </si>
  <si>
    <t>Mendoza LLC</t>
  </si>
  <si>
    <t>07376 Joe Locks Apt. 174
Lake Joseside, MO 10326</t>
  </si>
  <si>
    <t>Ginaview</t>
  </si>
  <si>
    <t>636.763.0459x119</t>
  </si>
  <si>
    <t>Hall-Bailey</t>
  </si>
  <si>
    <t>55243 Harris Falls Suite 091
Elizabethfort, VA 00788</t>
  </si>
  <si>
    <t>North Bethanyville</t>
  </si>
  <si>
    <t>001-857-024-2547x71955</t>
  </si>
  <si>
    <t>Patterson-Collins</t>
  </si>
  <si>
    <t>507 Kelly Plain Suite 072
South Christopher, CA 06744</t>
  </si>
  <si>
    <t>Port Anita</t>
  </si>
  <si>
    <t>+1-466-124-4012x842</t>
  </si>
  <si>
    <t>Koch Inc</t>
  </si>
  <si>
    <t>97748 Anderson Port
Audreyberg, TN 75408</t>
  </si>
  <si>
    <t>Westmouth</t>
  </si>
  <si>
    <t>(972)427-3809x5165</t>
  </si>
  <si>
    <t>Reed LLC</t>
  </si>
  <si>
    <t>9132 Garcia Estates
North Carolynshire, TX 77749</t>
  </si>
  <si>
    <t>427.554.1262</t>
  </si>
  <si>
    <t>Ballard, Stanley and Hill</t>
  </si>
  <si>
    <t>USCGC Holt
FPO AA 27710</t>
  </si>
  <si>
    <t>Port Andrea</t>
  </si>
  <si>
    <t>409.995.2073x69158</t>
  </si>
  <si>
    <t>Combs Ltd</t>
  </si>
  <si>
    <t>1020 Murray Gateway
Smithton, HI 44207</t>
  </si>
  <si>
    <t>West Kelli</t>
  </si>
  <si>
    <t>167.486.0883</t>
  </si>
  <si>
    <t>Jacobs PLC</t>
  </si>
  <si>
    <t>293 Vernon Garden Apt. 024
Tiffanymouth, KY 89919</t>
  </si>
  <si>
    <t>Markborough</t>
  </si>
  <si>
    <t>(024)341-5235x050</t>
  </si>
  <si>
    <t>Cunningham Ltd</t>
  </si>
  <si>
    <t>46457 Alvarado Mews Apt. 640
Terrymouth, VT 01681</t>
  </si>
  <si>
    <t>Port Marissachester</t>
  </si>
  <si>
    <t>498-839-7284x63534</t>
  </si>
  <si>
    <t>Martin, Richardson and Snow</t>
  </si>
  <si>
    <t>Unit 3436 Box 4523
DPO AE 51665</t>
  </si>
  <si>
    <t>West Anthonymouth</t>
  </si>
  <si>
    <t>013.181.1620</t>
  </si>
  <si>
    <t>Harmon, Hunt and Daniels</t>
  </si>
  <si>
    <t>398 Keith Islands
New Michael, ND 26141</t>
  </si>
  <si>
    <t>Port Jennifer</t>
  </si>
  <si>
    <t>(440)486-0759</t>
  </si>
  <si>
    <t>Mayer, Hawkins and Day</t>
  </si>
  <si>
    <t>PSC 4292, Box 5900
APO AE 49106</t>
  </si>
  <si>
    <t>South Richard</t>
  </si>
  <si>
    <t>+1-206-641-2099x02965</t>
  </si>
  <si>
    <t>Martin, Sosa and Fleming</t>
  </si>
  <si>
    <t>424 Leonard Unions
Lewisland, MT 30183</t>
  </si>
  <si>
    <t>North Jenniferport</t>
  </si>
  <si>
    <t>Martinez, Armstrong and Carroll</t>
  </si>
  <si>
    <t>43311 Lewis Ville
South Davidside, MA 08450</t>
  </si>
  <si>
    <t>(577)786-8133</t>
  </si>
  <si>
    <t>Carr-Morrison</t>
  </si>
  <si>
    <t>26296 Brennan Neck Apt. 815
Leahville, WA 35764</t>
  </si>
  <si>
    <t>Sarahside</t>
  </si>
  <si>
    <t>331-309-4173</t>
  </si>
  <si>
    <t>Stafford, Johns and Dunn</t>
  </si>
  <si>
    <t>Unit 5820 Box 3745
DPO AP 87833</t>
  </si>
  <si>
    <t>Richardmouth</t>
  </si>
  <si>
    <t>761-727-3251</t>
  </si>
  <si>
    <t>Adams and Sons</t>
  </si>
  <si>
    <t>849 Ernest Ramp Apt. 938
West Sharon, UT 25509</t>
  </si>
  <si>
    <t>Port Hannah</t>
  </si>
  <si>
    <t>Ramirez Inc</t>
  </si>
  <si>
    <t>971 Rodgers Drive Suite 338
North Karabury, VA 79151</t>
  </si>
  <si>
    <t>Lisafort</t>
  </si>
  <si>
    <t>001-397-293-6050x2868</t>
  </si>
  <si>
    <t>Barnes and Sons</t>
  </si>
  <si>
    <t>41662 John Shoals Apt. 246
West Shannon, NM 07777</t>
  </si>
  <si>
    <t>Michaelton</t>
  </si>
  <si>
    <t>(547)040-4732</t>
  </si>
  <si>
    <t>Bryant, Jacobson and West</t>
  </si>
  <si>
    <t>127 Michelle Views Suite 097
Lake Steven, TX 04725</t>
  </si>
  <si>
    <t>East Richardside</t>
  </si>
  <si>
    <t>001-075-347-0236x69878</t>
  </si>
  <si>
    <t>Butler-Richardson</t>
  </si>
  <si>
    <t>99213 George Spurs Suite 321
Petersenberg, MA 55289</t>
  </si>
  <si>
    <t>East Heatherport</t>
  </si>
  <si>
    <t>Lawrence-Clark</t>
  </si>
  <si>
    <t>699 Brooks Parkway
Davisside, AL 18704</t>
  </si>
  <si>
    <t>South Randy</t>
  </si>
  <si>
    <t>122-170-5452x33780</t>
  </si>
  <si>
    <t>Rodriguez and Sons</t>
  </si>
  <si>
    <t>210 Dickerson Pine
Port Troy, KY 22574</t>
  </si>
  <si>
    <t>North Sharonburgh</t>
  </si>
  <si>
    <t>477.309.3018x208</t>
  </si>
  <si>
    <t>Jackson-Good</t>
  </si>
  <si>
    <t>1947 Leonard Mission Suite 695
East Kenneth, NJ 60142</t>
  </si>
  <si>
    <t>Port Rebekah</t>
  </si>
  <si>
    <t>Tate-Reed</t>
  </si>
  <si>
    <t>22115 Shane Way Suite 117
Mariaville, IA 31143</t>
  </si>
  <si>
    <t>New William</t>
  </si>
  <si>
    <t>076.799.5247x9326</t>
  </si>
  <si>
    <t>88279 Luis Throughway Apt. 639
Thomasberg, NM 37613</t>
  </si>
  <si>
    <t>Adamsville</t>
  </si>
  <si>
    <t>(112)122-3591x558</t>
  </si>
  <si>
    <t>Todd Group</t>
  </si>
  <si>
    <t>Unit 6259 Box 3832
DPO AE 28167</t>
  </si>
  <si>
    <t>236.722.8623</t>
  </si>
  <si>
    <t>Martin, Cohen and Haynes</t>
  </si>
  <si>
    <t>6719 Yolanda Via
East Jill, TN 80794</t>
  </si>
  <si>
    <t>South Joshua</t>
  </si>
  <si>
    <t>001-677-604-8538x89487</t>
  </si>
  <si>
    <t>Frederick LLC</t>
  </si>
  <si>
    <t>6559 Matthew Turnpike
Johnsonchester, AK 98520</t>
  </si>
  <si>
    <t>Yatesside</t>
  </si>
  <si>
    <t>784.860.0232x137</t>
  </si>
  <si>
    <t>Abbott, Brooks and Moreno</t>
  </si>
  <si>
    <t>07566 Pacheco Port Apt. 447
Jenniferstad, VT 74898</t>
  </si>
  <si>
    <t>New Zachary</t>
  </si>
  <si>
    <t>(605)444-5107</t>
  </si>
  <si>
    <t>Simmons Group</t>
  </si>
  <si>
    <t>86763 Johnson Ramp Suite 259
Adamberg, CT 79300</t>
  </si>
  <si>
    <t>West Lucasville</t>
  </si>
  <si>
    <t>002.503.5955x077</t>
  </si>
  <si>
    <t>Manning Ltd</t>
  </si>
  <si>
    <t>91482 Adam Light Suite 699
Robertberg, MA 25709</t>
  </si>
  <si>
    <t>Josephburgh</t>
  </si>
  <si>
    <t>187-286-3552</t>
  </si>
  <si>
    <t>Villegas, Chen and Campos</t>
  </si>
  <si>
    <t>5698 Trevor Ridges
Samanthaburgh, VT 05005</t>
  </si>
  <si>
    <t>New Travisshire</t>
  </si>
  <si>
    <t>(619)661-4594x325</t>
  </si>
  <si>
    <t>Wong-Wilson</t>
  </si>
  <si>
    <t>1663 Lindsey Knoll Suite 148
South Emmachester, LA 53472</t>
  </si>
  <si>
    <t>South Douglashaven</t>
  </si>
  <si>
    <t>693-832-6017x426</t>
  </si>
  <si>
    <t>Parker Group</t>
  </si>
  <si>
    <t>017 David Crossing Suite 956
South Debraview, MO 17664</t>
  </si>
  <si>
    <t>Jonathanmouth</t>
  </si>
  <si>
    <t>197.775.7862x84876</t>
  </si>
  <si>
    <t>Conner, Martinez and Ward</t>
  </si>
  <si>
    <t>201 Ortega Points
New Georgeland, CA 73855</t>
  </si>
  <si>
    <t>Codyview</t>
  </si>
  <si>
    <t>177-150-2468x49541</t>
  </si>
  <si>
    <t>Davis, Hughes and Leblanc</t>
  </si>
  <si>
    <t>64539 Sabrina Rest
Port Dennisfort, FL 23814</t>
  </si>
  <si>
    <t>South Danielle</t>
  </si>
  <si>
    <t>450-388-2214</t>
  </si>
  <si>
    <t>Andrews Inc</t>
  </si>
  <si>
    <t>26341 Angela Canyon
Wheelerland, RI 53891</t>
  </si>
  <si>
    <t>Carrport</t>
  </si>
  <si>
    <t>001-257-656-9260x6347</t>
  </si>
  <si>
    <t>Schneider-Suarez</t>
  </si>
  <si>
    <t>73422 Morgan Plains
East Destiny, SD 76863</t>
  </si>
  <si>
    <t>001-597-658-2544x8112</t>
  </si>
  <si>
    <t>Martinez, Davis and Simmons</t>
  </si>
  <si>
    <t>679 Lee Prairie Apt. 468
New Samuel, CA 74608</t>
  </si>
  <si>
    <t>(024)268-9864x8442</t>
  </si>
  <si>
    <t>Hester-Vaughn</t>
  </si>
  <si>
    <t>11290 Lindsay Knolls
New Teresa, KS 45517</t>
  </si>
  <si>
    <t>Leonfort</t>
  </si>
  <si>
    <t>440-252-5984</t>
  </si>
  <si>
    <t>Wilson and Sons</t>
  </si>
  <si>
    <t>503 Heidi Union Suite 064
Garciachester, NM 90354</t>
  </si>
  <si>
    <t>Port Julia</t>
  </si>
  <si>
    <t>705.277.5779</t>
  </si>
  <si>
    <t>Thompson and Sons</t>
  </si>
  <si>
    <t>3501 Goodwin Streets Suite 016
Lake Kristinastad, NJ 25573</t>
  </si>
  <si>
    <t>366.010.6995x8345</t>
  </si>
  <si>
    <t>Rhodes, Vasquez and Ayala</t>
  </si>
  <si>
    <t>968 Brian Parkways
Port Jon, TX 15577</t>
  </si>
  <si>
    <t>Lake Bianca</t>
  </si>
  <si>
    <t>001-527-514-8462x80976</t>
  </si>
  <si>
    <t>Lee, Walker and Woodward</t>
  </si>
  <si>
    <t>Unit 7428 Box 9237
DPO AA 51656</t>
  </si>
  <si>
    <t>Williamview</t>
  </si>
  <si>
    <t>001-800-825-6958</t>
  </si>
  <si>
    <t>Giles, Weiss and Brown</t>
  </si>
  <si>
    <t>44972 Lawrence Wall
West Joseph, NC 35887</t>
  </si>
  <si>
    <t>Wilsonview</t>
  </si>
  <si>
    <t>Blanchard-Parsons</t>
  </si>
  <si>
    <t>81800 Preston Land Apt. 698
Murphyport, MS 99875</t>
  </si>
  <si>
    <t>Edwardsbury</t>
  </si>
  <si>
    <t>Maynard LLC</t>
  </si>
  <si>
    <t>7357 Kimberly Estate
Williamtown, TX 45569</t>
  </si>
  <si>
    <t>New Bobbytown</t>
  </si>
  <si>
    <t>416.974.9320x8176</t>
  </si>
  <si>
    <t>056 Valentine Village Suite 407
Bryantmouth, RI 56149</t>
  </si>
  <si>
    <t>North Caitlin</t>
  </si>
  <si>
    <t>(125)745-1987x650</t>
  </si>
  <si>
    <t>Lozano and Sons</t>
  </si>
  <si>
    <t>4617 Reed Wells Suite 310
Lake Daniel, GA 76092</t>
  </si>
  <si>
    <t>Raymondview</t>
  </si>
  <si>
    <t>124.824.3776</t>
  </si>
  <si>
    <t>Wheeler-Galvan</t>
  </si>
  <si>
    <t>2915 Teresa Orchard Apt. 925
East Jacobmouth, AR 92844</t>
  </si>
  <si>
    <t>North Mary</t>
  </si>
  <si>
    <t>851.926.1633</t>
  </si>
  <si>
    <t>Cooper LLC</t>
  </si>
  <si>
    <t>30047 Maldonado Mission Apt. 779
Lindamouth, CA 11952</t>
  </si>
  <si>
    <t>Port Melanie</t>
  </si>
  <si>
    <t>001-120-947-8177x14998</t>
  </si>
  <si>
    <t>Wolfe, Hull and Richardson</t>
  </si>
  <si>
    <t>98375 Christine Mountains
New Kelly, MD 32374</t>
  </si>
  <si>
    <t>Gibsonfort</t>
  </si>
  <si>
    <t>649.210.2886x0203</t>
  </si>
  <si>
    <t>Crane LLC</t>
  </si>
  <si>
    <t>32159 Bradley Canyon
Stevensonside, VA 33070</t>
  </si>
  <si>
    <t>Lindseybury</t>
  </si>
  <si>
    <t>001-004-545-5901x1754</t>
  </si>
  <si>
    <t>Simmons-Davis</t>
  </si>
  <si>
    <t>788 Tiffany Spur Apt. 373
Port Matthew, NY 44804</t>
  </si>
  <si>
    <t>Basstown</t>
  </si>
  <si>
    <t>532.668.4291x87339</t>
  </si>
  <si>
    <t>Potts, Williams and Adams</t>
  </si>
  <si>
    <t>1897 Elizabeth Throughway
South Shawn, TN 56135</t>
  </si>
  <si>
    <t>Lake Charleston</t>
  </si>
  <si>
    <t>076.004.8874</t>
  </si>
  <si>
    <t>Russell and Sons</t>
  </si>
  <si>
    <t>44158 Williams Plaza Apt. 122
Chavezhaven, LA 02481</t>
  </si>
  <si>
    <t>New Michaelmouth</t>
  </si>
  <si>
    <t>(201)501-1781</t>
  </si>
  <si>
    <t>Blair Group</t>
  </si>
  <si>
    <t>602 Maria Dam
Tinatown, WA 91444</t>
  </si>
  <si>
    <t>Lake Maria</t>
  </si>
  <si>
    <t>001-134-029-8765x104</t>
  </si>
  <si>
    <t>Phillips and Sons</t>
  </si>
  <si>
    <t>USNS Rocha
FPO AP 15184</t>
  </si>
  <si>
    <t>New Willieburgh</t>
  </si>
  <si>
    <t>001-493-528-0886x728</t>
  </si>
  <si>
    <t>Aguilar Group</t>
  </si>
  <si>
    <t>292 Torres Village
Johnland, IL 09607</t>
  </si>
  <si>
    <t>West James</t>
  </si>
  <si>
    <t>(390)257-0518x4479</t>
  </si>
  <si>
    <t>Rogers-Maldonado</t>
  </si>
  <si>
    <t>9659 Reed Ridge
Waltersshire, MO 80569</t>
  </si>
  <si>
    <t>Mortonfort</t>
  </si>
  <si>
    <t>343-728-0009x45256</t>
  </si>
  <si>
    <t>Thomas-Flores</t>
  </si>
  <si>
    <t>259 Walker Hollow
East Seth, AL 67266</t>
  </si>
  <si>
    <t>West Brandon</t>
  </si>
  <si>
    <t>567-080-9984x776</t>
  </si>
  <si>
    <t>Coleman, Williams and Nichols</t>
  </si>
  <si>
    <t>7897 Jenna Spring Suite 591
Jordanport, MA 64286</t>
  </si>
  <si>
    <t>Woodport</t>
  </si>
  <si>
    <t>Rollins-Mclaughlin</t>
  </si>
  <si>
    <t>9872 Reginald Locks Suite 116
Deniseland, CO 25700</t>
  </si>
  <si>
    <t>Brownberg</t>
  </si>
  <si>
    <t>728-509-6340x7211</t>
  </si>
  <si>
    <t>Meyers-Black</t>
  </si>
  <si>
    <t>60983 Garcia Ways Apt. 475
Gracefort, WI 40941</t>
  </si>
  <si>
    <t>Drakeville</t>
  </si>
  <si>
    <t>713-138-1523x7028</t>
  </si>
  <si>
    <t>Reed-Williams</t>
  </si>
  <si>
    <t>57484 Adams Well Apt. 314
Jonesfort, VT 30639</t>
  </si>
  <si>
    <t>Derekshire</t>
  </si>
  <si>
    <t>001-403-694-6449</t>
  </si>
  <si>
    <t>Jordan LLC</t>
  </si>
  <si>
    <t>2673 Maria Knolls
Comptonborough, NY 52749</t>
  </si>
  <si>
    <t>North Amanda</t>
  </si>
  <si>
    <t>Estes LLC</t>
  </si>
  <si>
    <t>175 Douglas Flat
Gregoryside, WI 12800</t>
  </si>
  <si>
    <t>001-429-296-5587x7891</t>
  </si>
  <si>
    <t>Hughes, Fuller and Sanchez</t>
  </si>
  <si>
    <t>19447 Michael Locks Apt. 580
Thompsonburgh, NJ 75869</t>
  </si>
  <si>
    <t>East Amyfurt</t>
  </si>
  <si>
    <t>(040)473-0155</t>
  </si>
  <si>
    <t>Black Group</t>
  </si>
  <si>
    <t>470 Renee Oval
South Julia, KY 65367</t>
  </si>
  <si>
    <t>North Joseph</t>
  </si>
  <si>
    <t>001-996-238-7255x85073</t>
  </si>
  <si>
    <t>269 Isaiah Point Suite 901
Lake Shaneville, KS 49945</t>
  </si>
  <si>
    <t>North Katherineshire</t>
  </si>
  <si>
    <t>(134)266-7104x2168</t>
  </si>
  <si>
    <t>Frank and Sons</t>
  </si>
  <si>
    <t>68469 Butler Ranch Suite 190
New Melissa, NY 96885</t>
  </si>
  <si>
    <t>Petersonside</t>
  </si>
  <si>
    <t>945-001-1935x424</t>
  </si>
  <si>
    <t>45950 Gould Stravenue Suite 966
Lauraton, MT 41682</t>
  </si>
  <si>
    <t>+1-871-214-5204x667</t>
  </si>
  <si>
    <t>Cowan-Peterson</t>
  </si>
  <si>
    <t>683 Rhodes Lodge
Port Latoyafurt, KS 03941</t>
  </si>
  <si>
    <t>Reynoldsbury</t>
  </si>
  <si>
    <t>001-103-848-7464x001</t>
  </si>
  <si>
    <t>Stone LLC</t>
  </si>
  <si>
    <t>88440 James Lodge Suite 431
Mariaberg, TX 24138</t>
  </si>
  <si>
    <t>West Samuelfurt</t>
  </si>
  <si>
    <t>450-595-9061</t>
  </si>
  <si>
    <t>Stewart, Rocha and Torres</t>
  </si>
  <si>
    <t>0532 Cheryl Plains
Nicholasview, WA 35943</t>
  </si>
  <si>
    <t>Williamland</t>
  </si>
  <si>
    <t>+1-138-470-9169x439</t>
  </si>
  <si>
    <t>Hill-Russell</t>
  </si>
  <si>
    <t>68533 Martin Fork
South Morganfort, IL 17612</t>
  </si>
  <si>
    <t>075.630.9218</t>
  </si>
  <si>
    <t>Baker, Valencia and Smith</t>
  </si>
  <si>
    <t>4862 Clark Spurs
Lake Richard, MS 20484</t>
  </si>
  <si>
    <t>Amandaborough</t>
  </si>
  <si>
    <t>(397)967-0645</t>
  </si>
  <si>
    <t>Austin, Griffin and Ward</t>
  </si>
  <si>
    <t>5382 Michelle Manor Apt. 817
East James, MO 47545</t>
  </si>
  <si>
    <t>Lake Jason</t>
  </si>
  <si>
    <t>(877)527-5031</t>
  </si>
  <si>
    <t>Hall-Barnett</t>
  </si>
  <si>
    <t>574 Sutton Lakes
North Joan, NY 91914</t>
  </si>
  <si>
    <t>East Emily</t>
  </si>
  <si>
    <t>+1-416-150-5940x8255</t>
  </si>
  <si>
    <t>Stone Inc</t>
  </si>
  <si>
    <t>388 Michelle Shore
Port Kimberlyside, FL 70535</t>
  </si>
  <si>
    <t>Leville</t>
  </si>
  <si>
    <t>468-754-9363</t>
  </si>
  <si>
    <t>Payne Ltd</t>
  </si>
  <si>
    <t>4541 Megan Points Apt. 886
Wrightfort, RI 22327</t>
  </si>
  <si>
    <t>East Michael</t>
  </si>
  <si>
    <t>+1-499-883-9440x24317</t>
  </si>
  <si>
    <t>Scott, Lopez and Baldwin</t>
  </si>
  <si>
    <t>335 Mark Center
Grantport, HI 41240</t>
  </si>
  <si>
    <t>Allenborough</t>
  </si>
  <si>
    <t>001-590-644-2836</t>
  </si>
  <si>
    <t>Brown-Butler</t>
  </si>
  <si>
    <t>USCGC Steele
FPO AE 35280</t>
  </si>
  <si>
    <t>Ashleyhaven</t>
  </si>
  <si>
    <t>(509)390-1118</t>
  </si>
  <si>
    <t>Dunlap Inc</t>
  </si>
  <si>
    <t>416 Mariah Ridge Suite 777
New Laurafurt, TN 19711</t>
  </si>
  <si>
    <t>New Jamesburgh</t>
  </si>
  <si>
    <t>909-720-0844</t>
  </si>
  <si>
    <t>Mullins Ltd</t>
  </si>
  <si>
    <t>762 Young Locks Apt. 246
Brownhaven, WV 44739</t>
  </si>
  <si>
    <t>Walterton</t>
  </si>
  <si>
    <t>Murphy, Harris and Quinn</t>
  </si>
  <si>
    <t>PSC 3393, Box 0158
APO AE 18045</t>
  </si>
  <si>
    <t>Port Brett</t>
  </si>
  <si>
    <t>(080)535-3645</t>
  </si>
  <si>
    <t>Wallace and Sons</t>
  </si>
  <si>
    <t>7743 Russell Cove
Port Tonyatown, KS 97653</t>
  </si>
  <si>
    <t>Robertschester</t>
  </si>
  <si>
    <t>(277)528-2339</t>
  </si>
  <si>
    <t>Sanchez Group</t>
  </si>
  <si>
    <t>USS Hernandez
FPO AP 68693</t>
  </si>
  <si>
    <t>New Emily</t>
  </si>
  <si>
    <t>(797)145-6559x37937</t>
  </si>
  <si>
    <t>Peck-Norris</t>
  </si>
  <si>
    <t>75929 Tyler Corner
Lake Christopherland, VT 54608</t>
  </si>
  <si>
    <t>Jordanberg</t>
  </si>
  <si>
    <t>447-812-4442</t>
  </si>
  <si>
    <t>Thomas, Brock and Ali</t>
  </si>
  <si>
    <t>2636 Hayes Landing
Ramseychester, PA 35913</t>
  </si>
  <si>
    <t>Lake Kelly</t>
  </si>
  <si>
    <t>Murphy Ltd</t>
  </si>
  <si>
    <t>8991 Elizabeth View
Andrewston, MT 46774</t>
  </si>
  <si>
    <t>South Andrew</t>
  </si>
  <si>
    <t>Howard-Williams</t>
  </si>
  <si>
    <t>662 Brenda Inlet Apt. 504
North Calvin, AK 36811</t>
  </si>
  <si>
    <t>Lopezport</t>
  </si>
  <si>
    <t>(728)156-2658x7091</t>
  </si>
  <si>
    <t>Smith, Lynch and Anderson</t>
  </si>
  <si>
    <t>85965 Vanessa Hollow
New Patriciamouth, WA 82198</t>
  </si>
  <si>
    <t>South Bryan</t>
  </si>
  <si>
    <t>+1-560-761-6843x29675</t>
  </si>
  <si>
    <t>Rogers, Harmon and Gordon</t>
  </si>
  <si>
    <t>13984 Mann Ford Apt. 634
Port Johnside, AL 55278</t>
  </si>
  <si>
    <t>Lake Karenfurt</t>
  </si>
  <si>
    <t>(421)106-2871x5106</t>
  </si>
  <si>
    <t>Stewart, Cox and Tate</t>
  </si>
  <si>
    <t>Unit 7108 Box 6674
DPO AE 90873</t>
  </si>
  <si>
    <t>East Kimberly</t>
  </si>
  <si>
    <t>754-822-6879x75255</t>
  </si>
  <si>
    <t>9892 Christopher Park Suite 948
Davidfurt, TN 47444</t>
  </si>
  <si>
    <t>Torresshire</t>
  </si>
  <si>
    <t>408.792.0799</t>
  </si>
  <si>
    <t>Marshall-Huffman</t>
  </si>
  <si>
    <t>010 Williams Ville Suite 868
South Patricia, MS 92938</t>
  </si>
  <si>
    <t>Mendozastad</t>
  </si>
  <si>
    <t>001-320-495-1470</t>
  </si>
  <si>
    <t>Snow PLC</t>
  </si>
  <si>
    <t>8892 Christine Court
Lake Jamestown, MI 56025</t>
  </si>
  <si>
    <t>West Charlesborough</t>
  </si>
  <si>
    <t>001-656-370-9565x9479</t>
  </si>
  <si>
    <t>Figueroa Inc</t>
  </si>
  <si>
    <t>5678 Washington Pines Suite 444
Millerfurt, DE 55779</t>
  </si>
  <si>
    <t>Lewishaven</t>
  </si>
  <si>
    <t>107.592.8920</t>
  </si>
  <si>
    <t>Martin, Johnson and Herrera</t>
  </si>
  <si>
    <t>7208 Garcia Drive Suite 415
South Crystalmouth, PA 88821</t>
  </si>
  <si>
    <t>North Richard</t>
  </si>
  <si>
    <t>414-000-8857</t>
  </si>
  <si>
    <t>Mcclain Ltd</t>
  </si>
  <si>
    <t>8220 Nicholas Mission Suite 606
Dillonfort, OK 61228</t>
  </si>
  <si>
    <t>Katherineborough</t>
  </si>
  <si>
    <t>001-504-478-4608x690</t>
  </si>
  <si>
    <t>Bruce Inc</t>
  </si>
  <si>
    <t>642 Schultz Divide Apt. 480
Matthewview, PA 26612</t>
  </si>
  <si>
    <t>Harrishaven</t>
  </si>
  <si>
    <t>(258)012-0928x8067</t>
  </si>
  <si>
    <t>Smith-Paul</t>
  </si>
  <si>
    <t>807 Taylor Stream
New Cameron, AR 20442</t>
  </si>
  <si>
    <t>Thorntonbury</t>
  </si>
  <si>
    <t>001-222-287-5923x26280</t>
  </si>
  <si>
    <t>Phillips PLC</t>
  </si>
  <si>
    <t>4419 Moore Pike Apt. 613
West Cheryl, VA 40988</t>
  </si>
  <si>
    <t>New Ninashire</t>
  </si>
  <si>
    <t>+1-041-200-9724x3812</t>
  </si>
  <si>
    <t>Horn-House</t>
  </si>
  <si>
    <t>59435 Benjamin Mountain
Amandamouth, VA 67842</t>
  </si>
  <si>
    <t>South Charles</t>
  </si>
  <si>
    <t>(274)596-0960x4039</t>
  </si>
  <si>
    <t>Weaver-Walker</t>
  </si>
  <si>
    <t>0462 Kelly Junction Apt. 610
West Christophertown, MD 16033</t>
  </si>
  <si>
    <t>North Biancaview</t>
  </si>
  <si>
    <t>(684)214-8678x814</t>
  </si>
  <si>
    <t>Roth, Estrada and Vang</t>
  </si>
  <si>
    <t>9894 Thornton Stream
East Wesley, VA 88439</t>
  </si>
  <si>
    <t>Port Erin</t>
  </si>
  <si>
    <t>(523)837-8597</t>
  </si>
  <si>
    <t>Farmer Ltd</t>
  </si>
  <si>
    <t>594 Patel Road Suite 676
Autumnborough, AK 45847</t>
  </si>
  <si>
    <t>Cisnerostown</t>
  </si>
  <si>
    <t>924.147.5562x1759</t>
  </si>
  <si>
    <t>876 Mckinney Circles Suite 026
Taylorchester, OH 43657</t>
  </si>
  <si>
    <t>Lake Tamara</t>
  </si>
  <si>
    <t>871.082.6155x450</t>
  </si>
  <si>
    <t>Nguyen-Vasquez</t>
  </si>
  <si>
    <t>23097 Robinson Isle
New Barbara, MT 56782</t>
  </si>
  <si>
    <t>East Janet</t>
  </si>
  <si>
    <t>330-419-6965x494</t>
  </si>
  <si>
    <t>Carroll PLC</t>
  </si>
  <si>
    <t>PSC 4547, Box 7966
APO AE 27140</t>
  </si>
  <si>
    <t>North Kennethview</t>
  </si>
  <si>
    <t>810.075.7191x4578</t>
  </si>
  <si>
    <t>Gallagher-Brown</t>
  </si>
  <si>
    <t>USNV Morris
FPO AP 79488</t>
  </si>
  <si>
    <t>Olsenstad</t>
  </si>
  <si>
    <t>Golden Group</t>
  </si>
  <si>
    <t>2558 Barr Loaf
Michaelhaven, WV 26626</t>
  </si>
  <si>
    <t>Parksburgh</t>
  </si>
  <si>
    <t>012.853.4943x4132</t>
  </si>
  <si>
    <t>7787 Warren Estates Suite 246
Phillipsburgh, OK 32953</t>
  </si>
  <si>
    <t>South Thomasville</t>
  </si>
  <si>
    <t>394.144.5269x2229</t>
  </si>
  <si>
    <t>Pollard, Collins and Watson</t>
  </si>
  <si>
    <t>Unit 4908 Box 4008
DPO AE 21178</t>
  </si>
  <si>
    <t>Williamsonmouth</t>
  </si>
  <si>
    <t>218.505.6857x64219</t>
  </si>
  <si>
    <t>Fisher PLC</t>
  </si>
  <si>
    <t>350 Danny Flats Suite 806
Smithfort, IN 28216</t>
  </si>
  <si>
    <t>Fowlerbury</t>
  </si>
  <si>
    <t>+1-823-181-5943x270</t>
  </si>
  <si>
    <t>725 Garner Locks
Andrewchester, MI 49979</t>
  </si>
  <si>
    <t>(352)481-4738</t>
  </si>
  <si>
    <t>Cooper, Osborn and Clark</t>
  </si>
  <si>
    <t>8962 Robinson Greens Suite 631
Pricechester, LA 52710</t>
  </si>
  <si>
    <t>North Stevenbury</t>
  </si>
  <si>
    <t>001-548-930-4392x6738</t>
  </si>
  <si>
    <t>Miller-Clark</t>
  </si>
  <si>
    <t>54061 Billy Locks Suite 765
East Martin, ND 10197</t>
  </si>
  <si>
    <t>Kaitlynville</t>
  </si>
  <si>
    <t>(540)858-7855</t>
  </si>
  <si>
    <t>Jones-Burnett</t>
  </si>
  <si>
    <t>515 Elizabeth Well Suite 591
East Paul, IN 33760</t>
  </si>
  <si>
    <t>East Shanestad</t>
  </si>
  <si>
    <t>001-718-367-8316</t>
  </si>
  <si>
    <t>Jefferson Group</t>
  </si>
  <si>
    <t>668 Brown Walks
Davisfort, MI 56210</t>
  </si>
  <si>
    <t>East Michelle</t>
  </si>
  <si>
    <t>Johnson LLC</t>
  </si>
  <si>
    <t>21555 Sanchez Streets Apt. 988
South Kimberly, MT 97822</t>
  </si>
  <si>
    <t>Smithstad</t>
  </si>
  <si>
    <t>195-477-4278x2975</t>
  </si>
  <si>
    <t>Cox, Rogers and Horne</t>
  </si>
  <si>
    <t>558 Shawn Well Apt. 218
Lake Saraville, IA 58123</t>
  </si>
  <si>
    <t>Bryantton</t>
  </si>
  <si>
    <t>045-288-0356</t>
  </si>
  <si>
    <t>Hernandez, Lee and Dodson</t>
  </si>
  <si>
    <t>4238 Jerry Ranch Suite 083
Kiddview, RI 15092</t>
  </si>
  <si>
    <t>Brewerfort</t>
  </si>
  <si>
    <t>+1-563-810-9329x657</t>
  </si>
  <si>
    <t>Holmes-Schaefer</t>
  </si>
  <si>
    <t>61354 Tina Cliff
Sandershaven, UT 60062</t>
  </si>
  <si>
    <t>Jordanborough</t>
  </si>
  <si>
    <t>759-916-3267x89739</t>
  </si>
  <si>
    <t>Petersen, Morrison and Woods</t>
  </si>
  <si>
    <t>7626 Stephanie Creek Suite 634
Juliashire, WI 41937</t>
  </si>
  <si>
    <t>Johnsonborough</t>
  </si>
  <si>
    <t>Bradshaw Ltd</t>
  </si>
  <si>
    <t>PSC 6707, Box 4294
APO AA 42923</t>
  </si>
  <si>
    <t>Frostberg</t>
  </si>
  <si>
    <t>056-604-3679</t>
  </si>
  <si>
    <t>Fields-Craig</t>
  </si>
  <si>
    <t>69619 Townsend Square Apt. 545
South Hollyside, LA 94071</t>
  </si>
  <si>
    <t>North Valerie</t>
  </si>
  <si>
    <t>001-120-459-4801</t>
  </si>
  <si>
    <t>Rogers, Robbins and Cook</t>
  </si>
  <si>
    <t>9927 Russell Pike
North Barry, NM 90744</t>
  </si>
  <si>
    <t>Lake Kendramouth</t>
  </si>
  <si>
    <t>387-013-3363</t>
  </si>
  <si>
    <t>Obrien-Carr</t>
  </si>
  <si>
    <t>7915 Jacob Tunnel Suite 241
New Lisaport, HI 08755</t>
  </si>
  <si>
    <t>East Tammy</t>
  </si>
  <si>
    <t>096.381.4881x4011</t>
  </si>
  <si>
    <t>Johnson-Mejia</t>
  </si>
  <si>
    <t>USNS Callahan
FPO AA 79594</t>
  </si>
  <si>
    <t>Port Michael</t>
  </si>
  <si>
    <t>(145)733-6977x4017</t>
  </si>
  <si>
    <t>Mckinney-Harris</t>
  </si>
  <si>
    <t>9562 Moore Vista
Port Michael, HI 54640</t>
  </si>
  <si>
    <t>Cabreraberg</t>
  </si>
  <si>
    <t>Coleman LLC</t>
  </si>
  <si>
    <t>972 Gonzalez Lodge
Richardsonview, UT 93978</t>
  </si>
  <si>
    <t>New Frank</t>
  </si>
  <si>
    <t>(238)095-1783</t>
  </si>
  <si>
    <t>Jones-Patterson</t>
  </si>
  <si>
    <t>622 Alan Park Apt. 298
Lake Kimberly, ND 78178</t>
  </si>
  <si>
    <t>New Robertstad</t>
  </si>
  <si>
    <t>940.354.9558</t>
  </si>
  <si>
    <t>Simpson Group</t>
  </si>
  <si>
    <t>2348 Daniel Crossing
South Sarahhaven, CO 35631</t>
  </si>
  <si>
    <t>Judystad</t>
  </si>
  <si>
    <t>+1-774-532-9866x479</t>
  </si>
  <si>
    <t>West, Martinez and Warren</t>
  </si>
  <si>
    <t>185 Bruce Mission
Janeburgh, MI 52383</t>
  </si>
  <si>
    <t>Rodriguezview</t>
  </si>
  <si>
    <t>(042)376-1212x66871</t>
  </si>
  <si>
    <t>Manning and Sons</t>
  </si>
  <si>
    <t>Unit 1702 Box 1802
DPO AE 00968</t>
  </si>
  <si>
    <t>Port Hannahmouth</t>
  </si>
  <si>
    <t>Mcgee PLC</t>
  </si>
  <si>
    <t>651 James Path
West Stephenside, MT 25848</t>
  </si>
  <si>
    <t>New Hollyfurt</t>
  </si>
  <si>
    <t>378-777-7668x60325</t>
  </si>
  <si>
    <t>Burke, Yates and Hicks</t>
  </si>
  <si>
    <t>6295 Eric Valleys Suite 028
Taylorhaven, AR 18369</t>
  </si>
  <si>
    <t>Madelinechester</t>
  </si>
  <si>
    <t>868-621-1107x14787</t>
  </si>
  <si>
    <t>Calderon-Torres</t>
  </si>
  <si>
    <t>020 Griffin Glen Suite 717
Molinafurt, MS 51202</t>
  </si>
  <si>
    <t>Ramosville</t>
  </si>
  <si>
    <t>(793)661-2764</t>
  </si>
  <si>
    <t>Parsons and Sons</t>
  </si>
  <si>
    <t>52339 Angela Circle
Stevenville, WY 85182</t>
  </si>
  <si>
    <t>East Sonyaport</t>
  </si>
  <si>
    <t>169-470-3250x7530</t>
  </si>
  <si>
    <t>Long-Alexander</t>
  </si>
  <si>
    <t>4601 Samuel Ranch Suite 442
New Ronald, SC 13631</t>
  </si>
  <si>
    <t>Priceland</t>
  </si>
  <si>
    <t>328-638-0829x010</t>
  </si>
  <si>
    <t>Mendoza-Espinoza</t>
  </si>
  <si>
    <t>8229 Sheila Trail
New Erica, DE 07371</t>
  </si>
  <si>
    <t>South William</t>
  </si>
  <si>
    <t>029-780-2681x85712</t>
  </si>
  <si>
    <t>Rosario-Porter</t>
  </si>
  <si>
    <t>538 Ramsey Trace
Romeroland, MA 69729</t>
  </si>
  <si>
    <t>Brookeland</t>
  </si>
  <si>
    <t>867-595-3131</t>
  </si>
  <si>
    <t>Hughes-Hart</t>
  </si>
  <si>
    <t>0824 Ronald Branch
West Rogerstad, NM 76134</t>
  </si>
  <si>
    <t>Campbellchester</t>
  </si>
  <si>
    <t>+1-165-641-7606x58790</t>
  </si>
  <si>
    <t>Richardson-Jones</t>
  </si>
  <si>
    <t>4052 Brown Gateway
Port Susan, MT 01391</t>
  </si>
  <si>
    <t>Tracyfort</t>
  </si>
  <si>
    <t>141-172-8997x285</t>
  </si>
  <si>
    <t>Hughes Ltd</t>
  </si>
  <si>
    <t>Unit 7379 Box 0879
DPO AP 36544</t>
  </si>
  <si>
    <t>Lake Michael</t>
  </si>
  <si>
    <t>(512)654-3742x7158</t>
  </si>
  <si>
    <t>Johnson-Brown</t>
  </si>
  <si>
    <t>06136 Jessica Parkways
Littletown, CA 68113</t>
  </si>
  <si>
    <t>Sheenashire</t>
  </si>
  <si>
    <t>252-571-8129</t>
  </si>
  <si>
    <t>Hall, Taylor and Anderson</t>
  </si>
  <si>
    <t>22046 Barry Turnpike Apt. 458
Wilsonshire, GA 77403</t>
  </si>
  <si>
    <t>New Jenniferbury</t>
  </si>
  <si>
    <t>001-595-456-3203</t>
  </si>
  <si>
    <t>Freeman, Allen and Castaneda</t>
  </si>
  <si>
    <t>58124 Reeves Stream Suite 880
Dayfurt, IA 16577</t>
  </si>
  <si>
    <t>Jenniferville</t>
  </si>
  <si>
    <t>(162)139-2884</t>
  </si>
  <si>
    <t>Lewis, Wagner and Solis</t>
  </si>
  <si>
    <t>250 Chloe Common
South Elizabethbury, NH 23690</t>
  </si>
  <si>
    <t>New Jacob</t>
  </si>
  <si>
    <t>001-094-480-8706</t>
  </si>
  <si>
    <t>Hill-Anderson</t>
  </si>
  <si>
    <t>500 Jones Circles Apt. 341
Brendaside, NJ 13591</t>
  </si>
  <si>
    <t>Robinsonfort</t>
  </si>
  <si>
    <t>Spears, Anderson and Huffman</t>
  </si>
  <si>
    <t>4257 Roberto Squares
New Timothyhaven, NY 01630</t>
  </si>
  <si>
    <t>Lake Stephen</t>
  </si>
  <si>
    <t>Gentry and Sons</t>
  </si>
  <si>
    <t>913 Katrina Mountains Apt. 164
East Thomas, NJ 59999</t>
  </si>
  <si>
    <t>New Tiffanystad</t>
  </si>
  <si>
    <t>(845)076-7276</t>
  </si>
  <si>
    <t>Preston-Smith</t>
  </si>
  <si>
    <t>18358 Moore Spring Suite 713
Gordonshire, MT 45298</t>
  </si>
  <si>
    <t>Strongmouth</t>
  </si>
  <si>
    <t>(813)326-3277x75776</t>
  </si>
  <si>
    <t>Schmidt-Alexander</t>
  </si>
  <si>
    <t>96966 Smith Expressway
Lauraburgh, MD 50475</t>
  </si>
  <si>
    <t>West Sharonview</t>
  </si>
  <si>
    <t>(616)029-0456x6126</t>
  </si>
  <si>
    <t>Bass LLC</t>
  </si>
  <si>
    <t>7188 Zachary Views
Lake Nicolehaven, AL 24903</t>
  </si>
  <si>
    <t>Owensstad</t>
  </si>
  <si>
    <t>996.149.6393x30141</t>
  </si>
  <si>
    <t>Simpson, Mcguire and Brown</t>
  </si>
  <si>
    <t>950 Dawn Mountains
New Robert, MI 58996</t>
  </si>
  <si>
    <t>Pereztown</t>
  </si>
  <si>
    <t>274.464.1201x34627</t>
  </si>
  <si>
    <t>Walter-Stevens</t>
  </si>
  <si>
    <t>32820 Lozano Fork
Emilybury, HI 03708</t>
  </si>
  <si>
    <t>Charlesland</t>
  </si>
  <si>
    <t>Flores-Wade</t>
  </si>
  <si>
    <t>43443 Campbell Highway
Ricetown, MA 95006</t>
  </si>
  <si>
    <t>Russellfurt</t>
  </si>
  <si>
    <t>525-492-4716</t>
  </si>
  <si>
    <t>Cooper, Harvey and Jordan</t>
  </si>
  <si>
    <t>241 Ethan Gardens Suite 016
Kevinshire, MD 90518</t>
  </si>
  <si>
    <t>Gomezfurt</t>
  </si>
  <si>
    <t>119-434-3757</t>
  </si>
  <si>
    <t>Fowler-Morgan</t>
  </si>
  <si>
    <t>684 Mike Mission Suite 131
East Sharonmouth, ME 61479</t>
  </si>
  <si>
    <t>Cannonside</t>
  </si>
  <si>
    <t>+1-427-871-1303x0408</t>
  </si>
  <si>
    <t>Greer-Frye</t>
  </si>
  <si>
    <t>424 Ryan Circle
Kellymouth, MT 70307</t>
  </si>
  <si>
    <t>Padillamouth</t>
  </si>
  <si>
    <t>(725)767-4070x399</t>
  </si>
  <si>
    <t>Marquez, Reid and Kramer</t>
  </si>
  <si>
    <t>8981 William Extension Apt. 848
New Jenniferport, RI 49072</t>
  </si>
  <si>
    <t>Weberfurt</t>
  </si>
  <si>
    <t>001-319-584-3389x9156</t>
  </si>
  <si>
    <t>Stephens-Braun</t>
  </si>
  <si>
    <t>657 Charles Streets
North Carolineberg, AR 77518</t>
  </si>
  <si>
    <t>Villastad</t>
  </si>
  <si>
    <t>001-744-282-3182</t>
  </si>
  <si>
    <t>Wilson Group</t>
  </si>
  <si>
    <t>Unit 6637 Box 3119
DPO AP 06435</t>
  </si>
  <si>
    <t>Medinatown</t>
  </si>
  <si>
    <t>Jackson, Lee and Hodge</t>
  </si>
  <si>
    <t>5326 Christian Trail
Port Hectorstad, NH 21079</t>
  </si>
  <si>
    <t>North Steven</t>
  </si>
  <si>
    <t>001-319-954-4598x21954</t>
  </si>
  <si>
    <t>Campbell, Peterson and Nixon</t>
  </si>
  <si>
    <t>USCGC Sullivan
FPO AE 70797</t>
  </si>
  <si>
    <t>West Peter</t>
  </si>
  <si>
    <t>001-080-950-9405x3327</t>
  </si>
  <si>
    <t>Galvan Ltd</t>
  </si>
  <si>
    <t>053 Richard Glens
Port Tanya, AR 46804</t>
  </si>
  <si>
    <t>West Melissastad</t>
  </si>
  <si>
    <t>Parsons Ltd</t>
  </si>
  <si>
    <t>13271 Michael Way Apt. 244
South Jennifer, AK 74009</t>
  </si>
  <si>
    <t>Port Robertport</t>
  </si>
  <si>
    <t>445-558-2787x92329</t>
  </si>
  <si>
    <t>Galloway, Hall and Oconnell</t>
  </si>
  <si>
    <t>08907 Paige Canyon Suite 640
West Michaelborough, RI 85483</t>
  </si>
  <si>
    <t>Lake Kari</t>
  </si>
  <si>
    <t>(558)699-9188x092</t>
  </si>
  <si>
    <t>Smith-Morales</t>
  </si>
  <si>
    <t>92861 Megan Extension Apt. 163
Jacobsburgh, MD 32991</t>
  </si>
  <si>
    <t>West Miaside</t>
  </si>
  <si>
    <t>481.162.2452x4959</t>
  </si>
  <si>
    <t>Ayers LLC</t>
  </si>
  <si>
    <t>901 Pacheco Dale
Robertport, OK 20674</t>
  </si>
  <si>
    <t>North Kennethshire</t>
  </si>
  <si>
    <t>(922)213-3651x61067</t>
  </si>
  <si>
    <t>Wright LLC</t>
  </si>
  <si>
    <t>PSC 1473, Box 2158
APO AE 95836</t>
  </si>
  <si>
    <t>West Kevin</t>
  </si>
  <si>
    <t>001-515-383-6029x214</t>
  </si>
  <si>
    <t>Sanchez PLC</t>
  </si>
  <si>
    <t>48910 Gordon Pike Apt. 720
Quinnshire, AK 79288</t>
  </si>
  <si>
    <t>South Marthahaven</t>
  </si>
  <si>
    <t>539-966-9767x99956</t>
  </si>
  <si>
    <t>Martinez-Young</t>
  </si>
  <si>
    <t>1821 Davis Estates
Dawnstad, ND 73249</t>
  </si>
  <si>
    <t>East Phillipton</t>
  </si>
  <si>
    <t>(448)182-4708</t>
  </si>
  <si>
    <t>Gibbs, Green and Krause</t>
  </si>
  <si>
    <t>9340 Dalton Junctions Suite 998
Tiffanymouth, SD 76155</t>
  </si>
  <si>
    <t>Sheilaburgh</t>
  </si>
  <si>
    <t>001-228-747-8247x18530</t>
  </si>
  <si>
    <t>Lee PLC</t>
  </si>
  <si>
    <t>886 Mark Plain Suite 687
Lake Nicholashaven, MN 43931</t>
  </si>
  <si>
    <t>Leeburgh</t>
  </si>
  <si>
    <t>346.517.7901x471</t>
  </si>
  <si>
    <t>28329 Gary Courts
East Jonathan, KS 04105</t>
  </si>
  <si>
    <t>Garciatown</t>
  </si>
  <si>
    <t>599-601-7460</t>
  </si>
  <si>
    <t>Morrison LLC</t>
  </si>
  <si>
    <t>Unit 7525 Box 7976
DPO AA 30814</t>
  </si>
  <si>
    <t>Blaketown</t>
  </si>
  <si>
    <t>776.420.3183</t>
  </si>
  <si>
    <t>Crosby Group</t>
  </si>
  <si>
    <t>81218 Peter Rest Apt. 173
East Caitlinport, NV 39150</t>
  </si>
  <si>
    <t>Erikatown</t>
  </si>
  <si>
    <t>+1-307-053-5303x7456</t>
  </si>
  <si>
    <t>Whitaker Group</t>
  </si>
  <si>
    <t>59776 Perry Turnpike Apt. 615
South Howard, HI 48266</t>
  </si>
  <si>
    <t>Garciaberg</t>
  </si>
  <si>
    <t>139.400.8463x7894</t>
  </si>
  <si>
    <t>Morton, Perry and Lopez</t>
  </si>
  <si>
    <t>61563 Hendrix Viaduct Suite 566
Lake Harryton, MA 17987</t>
  </si>
  <si>
    <t>Port Raymondburgh</t>
  </si>
  <si>
    <t>(870)361-0934x3633</t>
  </si>
  <si>
    <t>Davis and Sons</t>
  </si>
  <si>
    <t>551 Huynh Trail Apt. 373
Lake Kevinton, KS 39284</t>
  </si>
  <si>
    <t>Patrickfort</t>
  </si>
  <si>
    <t>965.266.3582</t>
  </si>
  <si>
    <t>Moore, Peck and Cox</t>
  </si>
  <si>
    <t>827 Pace Unions Apt. 620
Paulhaven, RI 85075</t>
  </si>
  <si>
    <t>001-403-232-7921</t>
  </si>
  <si>
    <t>Wilson-Medina</t>
  </si>
  <si>
    <t>PSC 7795, Box 8364
APO AE 31123</t>
  </si>
  <si>
    <t>East Heather</t>
  </si>
  <si>
    <t>(536)020-7040x308</t>
  </si>
  <si>
    <t>Cruz-Davis</t>
  </si>
  <si>
    <t>032 Suarez Pine Apt. 241
Port Anthonyborough, IN 97036</t>
  </si>
  <si>
    <t>Port Tanyaburgh</t>
  </si>
  <si>
    <t>(126)595-1397</t>
  </si>
  <si>
    <t>Hudson, Spence and Perez</t>
  </si>
  <si>
    <t>52439 April Lodge
Timothyburgh, MS 86772</t>
  </si>
  <si>
    <t>New Calebberg</t>
  </si>
  <si>
    <t>Oliver-Orr</t>
  </si>
  <si>
    <t>56629 Tara Alley Apt. 226
South Adrianchester, NE 12389</t>
  </si>
  <si>
    <t>Lucasmouth</t>
  </si>
  <si>
    <t>(291)397-0048</t>
  </si>
  <si>
    <t>Villegas Inc</t>
  </si>
  <si>
    <t>648 Maria Gardens
New Charles, NM 12489</t>
  </si>
  <si>
    <t>Rodriguez Inc</t>
  </si>
  <si>
    <t>937 Murray Turnpike
Lorrainestad, RI 37088</t>
  </si>
  <si>
    <t>Jonestown</t>
  </si>
  <si>
    <t>Rosales-Dillon</t>
  </si>
  <si>
    <t>462 Nicole Common
Wheelermouth, VA 10670</t>
  </si>
  <si>
    <t>Port Donnamouth</t>
  </si>
  <si>
    <t>259.371.8249</t>
  </si>
  <si>
    <t>White Ltd</t>
  </si>
  <si>
    <t>04589 Cole Highway Suite 011
Sheltonbury, MN 56672</t>
  </si>
  <si>
    <t>East Jesse</t>
  </si>
  <si>
    <t>(870)515-3806</t>
  </si>
  <si>
    <t>Perkins Ltd</t>
  </si>
  <si>
    <t>6749 Stewart Trace
New Thomas, KY 96239</t>
  </si>
  <si>
    <t>North Chase</t>
  </si>
  <si>
    <t>Clark-Miranda</t>
  </si>
  <si>
    <t>54388 John Bypass Suite 842
New Kimberly, AL 69199</t>
  </si>
  <si>
    <t>East Benjaminland</t>
  </si>
  <si>
    <t>001-517-180-8109x1808</t>
  </si>
  <si>
    <t>Larson and Sons</t>
  </si>
  <si>
    <t>5591 Kathleen Route Apt. 687
South Paul, NC 69885</t>
  </si>
  <si>
    <t>Zimmermanton</t>
  </si>
  <si>
    <t>152.836.4864</t>
  </si>
  <si>
    <t>Allen LLC</t>
  </si>
  <si>
    <t>11055 Hayes Island Suite 805
Cynthiatown, ME 65521</t>
  </si>
  <si>
    <t>Lake Richardhaven</t>
  </si>
  <si>
    <t>474-088-6934</t>
  </si>
  <si>
    <t>Cannon-Garcia</t>
  </si>
  <si>
    <t>18680 Krystal Inlet Apt. 200
East Janettown, MO 64497</t>
  </si>
  <si>
    <t>Kellytown</t>
  </si>
  <si>
    <t>Phillips-Bradley</t>
  </si>
  <si>
    <t>6479 Beverly Club
East Karen, IN 38784</t>
  </si>
  <si>
    <t>South Allisonburgh</t>
  </si>
  <si>
    <t>001-645-494-2603</t>
  </si>
  <si>
    <t>Jones, Allison and Ellison</t>
  </si>
  <si>
    <t>95536 Hunt Harbor Apt. 227
North Alexisbury, AR 45373</t>
  </si>
  <si>
    <t>New Ginaborough</t>
  </si>
  <si>
    <t>(692)324-3942x4267</t>
  </si>
  <si>
    <t>Jimenez-Ramirez</t>
  </si>
  <si>
    <t>29016 Patricia Turnpike
North Jeffreymouth, VT 07661</t>
  </si>
  <si>
    <t>Anthonyborough</t>
  </si>
  <si>
    <t>(406)401-4554x74878</t>
  </si>
  <si>
    <t>8015 Meyer View
South Bobby, MN 09536</t>
  </si>
  <si>
    <t>Steveport</t>
  </si>
  <si>
    <t>+1-114-068-7855x4731</t>
  </si>
  <si>
    <t>Frazier-Sanders</t>
  </si>
  <si>
    <t>5099 Campbell Falls
Port Paulmouth, AK 72465</t>
  </si>
  <si>
    <t>Ramseyfort</t>
  </si>
  <si>
    <t>001-581-378-3772x04562</t>
  </si>
  <si>
    <t>Velazquez, Mitchell and Mcintyre</t>
  </si>
  <si>
    <t>64520 Joshua Parks
South Johnfurt, TN 61990</t>
  </si>
  <si>
    <t>Lisaborough</t>
  </si>
  <si>
    <t>533.325.7699x38436</t>
  </si>
  <si>
    <t>Taylor Group</t>
  </si>
  <si>
    <t>14689 Scott Gateway
North Curtis, RI 22825</t>
  </si>
  <si>
    <t>Roachhaven</t>
  </si>
  <si>
    <t>(903)301-8467x005</t>
  </si>
  <si>
    <t>Barker LLC</t>
  </si>
  <si>
    <t>5999 Brenda Trail Apt. 807
Amberstad, VT 22034</t>
  </si>
  <si>
    <t>Hollyhaven</t>
  </si>
  <si>
    <t>+1-530-780-2072x25507</t>
  </si>
  <si>
    <t>Reyes and Sons</t>
  </si>
  <si>
    <t>2706 Samantha Ferry Suite 785
Kevinborough, SC 54085</t>
  </si>
  <si>
    <t>New Monicaside</t>
  </si>
  <si>
    <t>Bradley-Martin</t>
  </si>
  <si>
    <t>145 Diana Circle Suite 342
North Michelle, AZ 40121</t>
  </si>
  <si>
    <t>Williamsshire</t>
  </si>
  <si>
    <t>+1-131-571-0529x38557</t>
  </si>
  <si>
    <t>George Group</t>
  </si>
  <si>
    <t>20833 Huffman Plaza
East Kevin, MN 53076</t>
  </si>
  <si>
    <t>Port Allisonland</t>
  </si>
  <si>
    <t>001-335-284-7048x76955</t>
  </si>
  <si>
    <t>Miller LLC</t>
  </si>
  <si>
    <t>7974 Matthew Hill Suite 293
Lake Christopherstad, MN 36854</t>
  </si>
  <si>
    <t>West Stephenside</t>
  </si>
  <si>
    <t>(870)001-4338</t>
  </si>
  <si>
    <t>York-Ferguson</t>
  </si>
  <si>
    <t>157 Woods Cliffs
East Arthur, MS 76614</t>
  </si>
  <si>
    <t>Lake Devon</t>
  </si>
  <si>
    <t>(122)877-3794x96948</t>
  </si>
  <si>
    <t>Miller-Bennett</t>
  </si>
  <si>
    <t>141 Benjamin Inlet
Cisneroston, VA 34027</t>
  </si>
  <si>
    <t>Campbellbury</t>
  </si>
  <si>
    <t>688-080-1814x29732</t>
  </si>
  <si>
    <t>Young-Wu</t>
  </si>
  <si>
    <t>6293 Higgins Viaduct Apt. 488
Elizabethmouth, MA 47397</t>
  </si>
  <si>
    <t>Tamaraside</t>
  </si>
  <si>
    <t>516-871-5874x60724</t>
  </si>
  <si>
    <t>Brock, Newton and Mccormick</t>
  </si>
  <si>
    <t>3043 Aguilar Mission
Coltonbury, KS 26858</t>
  </si>
  <si>
    <t>Roystad</t>
  </si>
  <si>
    <t>(699)849-3966x8395</t>
  </si>
  <si>
    <t>Melton, Olson and Foster</t>
  </si>
  <si>
    <t>886 Griffin Ports Apt. 205
Port Hayden, OH 11566</t>
  </si>
  <si>
    <t>+1-427-165-5121x1214</t>
  </si>
  <si>
    <t>House-Bates</t>
  </si>
  <si>
    <t>48407 Hall Cliffs
Lake Traceymouth, MD 10524</t>
  </si>
  <si>
    <t>West Lisamouth</t>
  </si>
  <si>
    <t>+1-910-582-8983x79304</t>
  </si>
  <si>
    <t>Jackson, Howe and Gentry</t>
  </si>
  <si>
    <t>Unit 6067 Box 3679
DPO AA 63953</t>
  </si>
  <si>
    <t>Lake Deborah</t>
  </si>
  <si>
    <t>071-338-9174</t>
  </si>
  <si>
    <t>Robinson-Gibson</t>
  </si>
  <si>
    <t>699 Brenda Landing
Petersstad, NH 95795</t>
  </si>
  <si>
    <t>South Zacharymouth</t>
  </si>
  <si>
    <t>001-313-085-7612</t>
  </si>
  <si>
    <t>Hodge, Lee and Washington</t>
  </si>
  <si>
    <t>2730 Shannon Mall Apt. 069
Owensburgh, MO 32097</t>
  </si>
  <si>
    <t>Spenceland</t>
  </si>
  <si>
    <t>Harris, Mcdonald and Taylor</t>
  </si>
  <si>
    <t>0039 Alexander Terrace Apt. 565
Aprilborough, MI 33494</t>
  </si>
  <si>
    <t>Samueltown</t>
  </si>
  <si>
    <t>Obrien-Zhang</t>
  </si>
  <si>
    <t>29928 Hawkins Glens Suite 830
Millerfort, AK 35617</t>
  </si>
  <si>
    <t>West Abigailtown</t>
  </si>
  <si>
    <t>(766)455-6356</t>
  </si>
  <si>
    <t>Herrera LLC</t>
  </si>
  <si>
    <t>03238 Singh Mill Apt. 542
Donaldburgh, IL 63546</t>
  </si>
  <si>
    <t>Randallchester</t>
  </si>
  <si>
    <t>0627 Keith Ferry Apt. 778
North Melaniechester, NY 94824</t>
  </si>
  <si>
    <t>Wrightville</t>
  </si>
  <si>
    <t>(730)287-3289</t>
  </si>
  <si>
    <t>Haynes, Barnett and Wiley</t>
  </si>
  <si>
    <t>70012 Lucero Stravenue
Floresbury, CA 62305</t>
  </si>
  <si>
    <t>Lake Lindsey</t>
  </si>
  <si>
    <t>980.273.6877</t>
  </si>
  <si>
    <t>Rice and Sons</t>
  </si>
  <si>
    <t>06266 Roberts Corner
Jamiemouth, ME 21665</t>
  </si>
  <si>
    <t>South Tina</t>
  </si>
  <si>
    <t>001-128-988-1441x190</t>
  </si>
  <si>
    <t>Patel Ltd</t>
  </si>
  <si>
    <t>892 Brandy Village
Deborahshire, AK 22864</t>
  </si>
  <si>
    <t>Lake Vanessaland</t>
  </si>
  <si>
    <t>(694)214-7175</t>
  </si>
  <si>
    <t>Stanley PLC</t>
  </si>
  <si>
    <t>3255 Steven Falls Apt. 575
South Ashleyton, NM 59651</t>
  </si>
  <si>
    <t>North Victoriastad</t>
  </si>
  <si>
    <t>001-428-241-5858x19231</t>
  </si>
  <si>
    <t>Jackson, Shelton and Mayer</t>
  </si>
  <si>
    <t>6472 Michelle Drives
Lake Robert, VA 54017</t>
  </si>
  <si>
    <t>Port Lance</t>
  </si>
  <si>
    <t>+1-140-191-0616x7900</t>
  </si>
  <si>
    <t>Davis, Sanchez and Mendez</t>
  </si>
  <si>
    <t>78391 Susan Landing Apt. 690
Cheyennefort, WI 89189</t>
  </si>
  <si>
    <t>001-696-690-2244</t>
  </si>
  <si>
    <t>Galloway-Henderson</t>
  </si>
  <si>
    <t>Unit 2168 Box 9786
DPO AA 06880</t>
  </si>
  <si>
    <t>Alexanderchester</t>
  </si>
  <si>
    <t>001-867-928-0212x3211</t>
  </si>
  <si>
    <t>Johnson PLC</t>
  </si>
  <si>
    <t>38009 Oconnor Prairie
Janicemouth, MS 31632</t>
  </si>
  <si>
    <t>East Bernard</t>
  </si>
  <si>
    <t>(764)089-8990x152</t>
  </si>
  <si>
    <t>Graham and Sons</t>
  </si>
  <si>
    <t>379 Thomas Roads
Harrisport, DC 76335</t>
  </si>
  <si>
    <t>Connieside</t>
  </si>
  <si>
    <t>+1-328-744-4361x89629</t>
  </si>
  <si>
    <t>Oconnor Ltd</t>
  </si>
  <si>
    <t>49967 Victoria Union Suite 176
Watkinsport, NC 14235</t>
  </si>
  <si>
    <t>Port Bryce</t>
  </si>
  <si>
    <t>+1-484-031-6824x10667</t>
  </si>
  <si>
    <t>Rivers, Pena and Davies</t>
  </si>
  <si>
    <t>Unit 9564 Box 1583
DPO AA 18894</t>
  </si>
  <si>
    <t>Christopherside</t>
  </si>
  <si>
    <t>392.087.3295</t>
  </si>
  <si>
    <t>97290 Stephanie Mountains Apt. 247
Lindseyburgh, WY 63235</t>
  </si>
  <si>
    <t>Coleburgh</t>
  </si>
  <si>
    <t>+1-926-386-9945x8729</t>
  </si>
  <si>
    <t>Robinson, Schaefer and Foster</t>
  </si>
  <si>
    <t>83418 Joshua Place Suite 333
Nathanielborough, IN 28904</t>
  </si>
  <si>
    <t>Christopherton</t>
  </si>
  <si>
    <t>+1-235-607-0553x247</t>
  </si>
  <si>
    <t>Hayden PLC</t>
  </si>
  <si>
    <t>51093 Richard Corners Apt. 086
Rossmouth, MS 72720</t>
  </si>
  <si>
    <t>Port Christopher</t>
  </si>
  <si>
    <t>619.534.3215</t>
  </si>
  <si>
    <t>Lewis, Preston and Price</t>
  </si>
  <si>
    <t>6974 Paul Estate
Lake Jacob, NV 24380</t>
  </si>
  <si>
    <t>Jeffreybury</t>
  </si>
  <si>
    <t>Scott, Davis and Mcbride</t>
  </si>
  <si>
    <t>89161 Christine Track Suite 497
Andreachester, MD 90839</t>
  </si>
  <si>
    <t>Port Daniel</t>
  </si>
  <si>
    <t>001-797-318-7062</t>
  </si>
  <si>
    <t>Hurst, Lee and Sims</t>
  </si>
  <si>
    <t>20729 Martinez Locks
West Katie, KS 29229</t>
  </si>
  <si>
    <t>Port Melissa</t>
  </si>
  <si>
    <t>521-004-0816</t>
  </si>
  <si>
    <t>Watson LLC</t>
  </si>
  <si>
    <t>29574 Scott Flats
Jamestown, ME 66124</t>
  </si>
  <si>
    <t>61454 Ryan Well Suite 025
East Aprilside, IL 12106</t>
  </si>
  <si>
    <t>Moralesberg</t>
  </si>
  <si>
    <t>(589)951-5870</t>
  </si>
  <si>
    <t>Lowe Ltd</t>
  </si>
  <si>
    <t>234 John Rue
Hendrixport, AZ 46361</t>
  </si>
  <si>
    <t>East Robertton</t>
  </si>
  <si>
    <t>(326)145-6491x608</t>
  </si>
  <si>
    <t>Robinson, Rodriguez and Reilly</t>
  </si>
  <si>
    <t>53064 Danny Centers Apt. 116
New Nicole, WY 40193</t>
  </si>
  <si>
    <t>Davisview</t>
  </si>
  <si>
    <t>317.522.3773x348</t>
  </si>
  <si>
    <t>Anderson and Sons</t>
  </si>
  <si>
    <t>1110 Martin Square Suite 965
West Anthony, VT 13086</t>
  </si>
  <si>
    <t>South Jessicachester</t>
  </si>
  <si>
    <t>759-596-1190x656</t>
  </si>
  <si>
    <t>Lewis-Anderson</t>
  </si>
  <si>
    <t>29974 Becker Hill Apt. 666
Pattonfurt, NJ 66040</t>
  </si>
  <si>
    <t>Flemingport</t>
  </si>
  <si>
    <t>Gray PLC</t>
  </si>
  <si>
    <t>536 Joyce Locks Suite 818
East Catherine, DE 59565</t>
  </si>
  <si>
    <t>West Hunter</t>
  </si>
  <si>
    <t>209.149.0656x397</t>
  </si>
  <si>
    <t>Baker Group</t>
  </si>
  <si>
    <t>82725 Walker Parkway
Karimouth, VA 07630</t>
  </si>
  <si>
    <t>808.838.1022x168</t>
  </si>
  <si>
    <t>Glenn-York</t>
  </si>
  <si>
    <t>96371 Owens Mountains
North Daniellestad, WI 11685</t>
  </si>
  <si>
    <t>West Stevenport</t>
  </si>
  <si>
    <t>(063)458-3909x33019</t>
  </si>
  <si>
    <t>Martinez PLC</t>
  </si>
  <si>
    <t>93509 Solomon Station
Sarahview, NH 55581</t>
  </si>
  <si>
    <t>Westbury</t>
  </si>
  <si>
    <t>944-129-2371x8219</t>
  </si>
  <si>
    <t>Munoz, Stone and Wallace</t>
  </si>
  <si>
    <t>739 Adams Alley
Vangborough, IN 50041</t>
  </si>
  <si>
    <t>Herbertbury</t>
  </si>
  <si>
    <t>(041)135-3095x826</t>
  </si>
  <si>
    <t>Gamble-Davis</t>
  </si>
  <si>
    <t>6516 Natalie Parkway Apt. 359
Port Angelicaville, OK 74292</t>
  </si>
  <si>
    <t>South Edwardtown</t>
  </si>
  <si>
    <t>298.868.0798x375</t>
  </si>
  <si>
    <t>Frey PLC</t>
  </si>
  <si>
    <t>4394 William Island
West Beth, OR 77721</t>
  </si>
  <si>
    <t>Harrisonbury</t>
  </si>
  <si>
    <t>(890)661-5455</t>
  </si>
  <si>
    <t>Wilson, Harris and Mayo</t>
  </si>
  <si>
    <t>075 Kim Vista Suite 910
South Natashaberg, WA 02431</t>
  </si>
  <si>
    <t>Port David</t>
  </si>
  <si>
    <t>+1-875-361-7836x21117</t>
  </si>
  <si>
    <t>Harris, Santos and Roberts</t>
  </si>
  <si>
    <t>6861 Steven Isle Apt. 138
South Blake, KS 26018</t>
  </si>
  <si>
    <t>South Kevinhaven</t>
  </si>
  <si>
    <t>001-664-346-8788</t>
  </si>
  <si>
    <t>Morris, Serrano and Roberson</t>
  </si>
  <si>
    <t>29137 Williams Summit Apt. 780
Fullerton, WA 63589</t>
  </si>
  <si>
    <t>East Laura</t>
  </si>
  <si>
    <t>+1-355-010-3614x2052</t>
  </si>
  <si>
    <t>Williams-Aguirre</t>
  </si>
  <si>
    <t>6861 Tiffany Junction Apt. 176
Farleyfurt, HI 39406</t>
  </si>
  <si>
    <t>North Lauren</t>
  </si>
  <si>
    <t>205-999-3497</t>
  </si>
  <si>
    <t>Jones PLC</t>
  </si>
  <si>
    <t>2646 Hull Wall Apt. 985
Valenciamouth, TN 58725</t>
  </si>
  <si>
    <t>Lake Latasha</t>
  </si>
  <si>
    <t>+1-231-061-4929x4353</t>
  </si>
  <si>
    <t>Spencer LLC</t>
  </si>
  <si>
    <t>63770 Jessica Falls Apt. 397
Chadton, VT 61248</t>
  </si>
  <si>
    <t>Stevensborough</t>
  </si>
  <si>
    <t>+1-741-041-0721x937</t>
  </si>
  <si>
    <t>Miller-Sanders</t>
  </si>
  <si>
    <t>896 Karen Island Apt. 800
Johnsontown, NJ 75055</t>
  </si>
  <si>
    <t>Browninghaven</t>
  </si>
  <si>
    <t>648.599.6844</t>
  </si>
  <si>
    <t>Mckinney Ltd</t>
  </si>
  <si>
    <t>179 Fernandez Rapids
Campbellport, MA 31352</t>
  </si>
  <si>
    <t>225-959-2378</t>
  </si>
  <si>
    <t>Porter, Hernandez and Pace</t>
  </si>
  <si>
    <t>3564 Hutchinson Shore
South Danielle, DC 15667</t>
  </si>
  <si>
    <t>Amyport</t>
  </si>
  <si>
    <t>001-279-802-3400x771</t>
  </si>
  <si>
    <t>Moore Group</t>
  </si>
  <si>
    <t>46915 Maynard Dam Suite 320
North Alyssa, CA 48762</t>
  </si>
  <si>
    <t>Manningshire</t>
  </si>
  <si>
    <t>889-093-8775x51762</t>
  </si>
  <si>
    <t>Vasquez, Ruiz and Flowers</t>
  </si>
  <si>
    <t>84308 Justin Stravenue
New Amberside, NE 53447</t>
  </si>
  <si>
    <t>+1-319-378-7627x0682</t>
  </si>
  <si>
    <t>Garza-Williams</t>
  </si>
  <si>
    <t>08864 Figueroa Radial Suite 948
Jennaberg, AZ 21207</t>
  </si>
  <si>
    <t>East Rossside</t>
  </si>
  <si>
    <t>001-924-441-3963x746</t>
  </si>
  <si>
    <t>Novak Group</t>
  </si>
  <si>
    <t>934 Zachary Run
Melissamouth, WY 02729</t>
  </si>
  <si>
    <t>Joshuastad</t>
  </si>
  <si>
    <t>(903)642-1969x3300</t>
  </si>
  <si>
    <t>Moody Ltd</t>
  </si>
  <si>
    <t>17580 Ernest Hills
Lake Michaelmouth, OR 56416</t>
  </si>
  <si>
    <t>Stevenchester</t>
  </si>
  <si>
    <t>637.300.3664x4880</t>
  </si>
  <si>
    <t>Jenkins-Brooks</t>
  </si>
  <si>
    <t>53390 Evans Rapids Suite 982
Lake Meghan, MO 44235</t>
  </si>
  <si>
    <t>Brendantown</t>
  </si>
  <si>
    <t>266-324-3458x95775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</si>
</sst>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FC22-35D7-42DF-9C3B-47B5621DAA97}">
  <dimension ref="A1:F10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s="1" t="s">
        <v>8</v>
      </c>
      <c r="E2" t="s">
        <v>9</v>
      </c>
      <c r="F2">
        <f>1-600-220-480</f>
        <v>-1299</v>
      </c>
    </row>
    <row r="3" spans="1:6" x14ac:dyDescent="0.3">
      <c r="A3">
        <v>2</v>
      </c>
      <c r="B3" t="s">
        <v>10</v>
      </c>
      <c r="C3" t="s">
        <v>11</v>
      </c>
      <c r="D3" s="1" t="s">
        <v>12</v>
      </c>
      <c r="E3" t="s">
        <v>13</v>
      </c>
      <c r="F3" t="s">
        <v>14</v>
      </c>
    </row>
    <row r="4" spans="1:6" x14ac:dyDescent="0.3">
      <c r="A4">
        <v>3</v>
      </c>
      <c r="B4" t="s">
        <v>15</v>
      </c>
      <c r="C4" t="s">
        <v>7</v>
      </c>
      <c r="D4" s="1" t="s">
        <v>16</v>
      </c>
      <c r="E4" t="s">
        <v>17</v>
      </c>
      <c r="F4" t="s">
        <v>18</v>
      </c>
    </row>
    <row r="5" spans="1:6" x14ac:dyDescent="0.3">
      <c r="A5">
        <v>4</v>
      </c>
      <c r="B5" t="s">
        <v>19</v>
      </c>
      <c r="C5" t="s">
        <v>11</v>
      </c>
      <c r="D5" s="1" t="s">
        <v>20</v>
      </c>
      <c r="E5" t="s">
        <v>21</v>
      </c>
      <c r="F5" t="s">
        <v>22</v>
      </c>
    </row>
    <row r="6" spans="1:6" x14ac:dyDescent="0.3">
      <c r="A6">
        <v>5</v>
      </c>
      <c r="B6" t="s">
        <v>23</v>
      </c>
      <c r="C6" t="s">
        <v>11</v>
      </c>
      <c r="D6" s="1" t="s">
        <v>24</v>
      </c>
      <c r="E6" t="s">
        <v>25</v>
      </c>
      <c r="F6" t="s">
        <v>26</v>
      </c>
    </row>
    <row r="7" spans="1:6" x14ac:dyDescent="0.3">
      <c r="A7">
        <v>6</v>
      </c>
      <c r="B7" t="s">
        <v>27</v>
      </c>
      <c r="C7" t="s">
        <v>11</v>
      </c>
      <c r="D7" s="1" t="s">
        <v>28</v>
      </c>
      <c r="E7" t="s">
        <v>29</v>
      </c>
      <c r="F7" t="s">
        <v>30</v>
      </c>
    </row>
    <row r="8" spans="1:6" x14ac:dyDescent="0.3">
      <c r="A8">
        <v>7</v>
      </c>
      <c r="B8" t="s">
        <v>31</v>
      </c>
      <c r="C8" t="s">
        <v>32</v>
      </c>
      <c r="D8" s="1" t="s">
        <v>33</v>
      </c>
      <c r="E8" t="s">
        <v>34</v>
      </c>
      <c r="F8" t="s">
        <v>35</v>
      </c>
    </row>
    <row r="9" spans="1:6" x14ac:dyDescent="0.3">
      <c r="A9">
        <v>8</v>
      </c>
      <c r="B9" t="s">
        <v>36</v>
      </c>
      <c r="C9" t="s">
        <v>7</v>
      </c>
      <c r="D9" s="1" t="s">
        <v>37</v>
      </c>
      <c r="E9" t="s">
        <v>38</v>
      </c>
      <c r="F9" t="s">
        <v>39</v>
      </c>
    </row>
    <row r="10" spans="1:6" x14ac:dyDescent="0.3">
      <c r="A10">
        <v>9</v>
      </c>
      <c r="B10" t="s">
        <v>40</v>
      </c>
      <c r="C10" t="s">
        <v>7</v>
      </c>
      <c r="D10" s="1" t="s">
        <v>41</v>
      </c>
      <c r="E10" t="s">
        <v>42</v>
      </c>
      <c r="F10" t="s">
        <v>43</v>
      </c>
    </row>
    <row r="11" spans="1:6" x14ac:dyDescent="0.3">
      <c r="A11">
        <v>10</v>
      </c>
      <c r="B11" t="s">
        <v>44</v>
      </c>
      <c r="C11" t="s">
        <v>45</v>
      </c>
      <c r="D11" s="1" t="s">
        <v>46</v>
      </c>
      <c r="E11" t="s">
        <v>47</v>
      </c>
      <c r="F11" t="s">
        <v>48</v>
      </c>
    </row>
    <row r="12" spans="1:6" x14ac:dyDescent="0.3">
      <c r="A12">
        <v>11</v>
      </c>
      <c r="B12" t="s">
        <v>49</v>
      </c>
      <c r="C12" t="s">
        <v>7</v>
      </c>
      <c r="D12" s="1" t="s">
        <v>50</v>
      </c>
      <c r="E12" t="s">
        <v>51</v>
      </c>
      <c r="F12" t="s">
        <v>52</v>
      </c>
    </row>
    <row r="13" spans="1:6" x14ac:dyDescent="0.3">
      <c r="A13">
        <v>12</v>
      </c>
      <c r="B13" t="s">
        <v>53</v>
      </c>
      <c r="C13" t="s">
        <v>7</v>
      </c>
      <c r="D13" s="1" t="s">
        <v>54</v>
      </c>
      <c r="E13" t="s">
        <v>55</v>
      </c>
      <c r="F13" t="s">
        <v>56</v>
      </c>
    </row>
    <row r="14" spans="1:6" x14ac:dyDescent="0.3">
      <c r="A14">
        <v>13</v>
      </c>
      <c r="B14" t="s">
        <v>57</v>
      </c>
      <c r="C14" t="s">
        <v>32</v>
      </c>
      <c r="D14" s="1" t="s">
        <v>58</v>
      </c>
      <c r="E14" t="s">
        <v>59</v>
      </c>
      <c r="F14" t="s">
        <v>60</v>
      </c>
    </row>
    <row r="15" spans="1:6" x14ac:dyDescent="0.3">
      <c r="A15">
        <v>14</v>
      </c>
      <c r="B15" t="s">
        <v>61</v>
      </c>
      <c r="C15" t="s">
        <v>45</v>
      </c>
      <c r="D15" s="1" t="s">
        <v>62</v>
      </c>
      <c r="E15" t="s">
        <v>63</v>
      </c>
      <c r="F15" t="s">
        <v>64</v>
      </c>
    </row>
    <row r="16" spans="1:6" x14ac:dyDescent="0.3">
      <c r="A16">
        <v>15</v>
      </c>
      <c r="B16" t="s">
        <v>65</v>
      </c>
      <c r="C16" t="s">
        <v>11</v>
      </c>
      <c r="D16" s="1" t="s">
        <v>66</v>
      </c>
      <c r="E16" t="s">
        <v>67</v>
      </c>
      <c r="F16" t="s">
        <v>68</v>
      </c>
    </row>
    <row r="17" spans="1:6" x14ac:dyDescent="0.3">
      <c r="A17">
        <v>16</v>
      </c>
      <c r="B17" t="s">
        <v>69</v>
      </c>
      <c r="C17" t="s">
        <v>45</v>
      </c>
      <c r="D17" s="1" t="s">
        <v>70</v>
      </c>
      <c r="E17" t="s">
        <v>71</v>
      </c>
      <c r="F17" t="s">
        <v>72</v>
      </c>
    </row>
    <row r="18" spans="1:6" x14ac:dyDescent="0.3">
      <c r="A18">
        <v>17</v>
      </c>
      <c r="B18" t="s">
        <v>53</v>
      </c>
      <c r="C18" t="s">
        <v>45</v>
      </c>
      <c r="D18" s="1" t="s">
        <v>73</v>
      </c>
      <c r="E18" t="s">
        <v>74</v>
      </c>
      <c r="F18" t="s">
        <v>75</v>
      </c>
    </row>
    <row r="19" spans="1:6" x14ac:dyDescent="0.3">
      <c r="A19">
        <v>18</v>
      </c>
      <c r="B19" t="s">
        <v>76</v>
      </c>
      <c r="C19" t="s">
        <v>32</v>
      </c>
      <c r="D19" s="1" t="s">
        <v>77</v>
      </c>
      <c r="E19" t="s">
        <v>78</v>
      </c>
      <c r="F19" t="s">
        <v>79</v>
      </c>
    </row>
    <row r="20" spans="1:6" x14ac:dyDescent="0.3">
      <c r="A20">
        <v>19</v>
      </c>
      <c r="B20" t="s">
        <v>80</v>
      </c>
      <c r="C20" t="s">
        <v>7</v>
      </c>
      <c r="D20" s="1" t="s">
        <v>81</v>
      </c>
      <c r="E20" t="s">
        <v>82</v>
      </c>
      <c r="F20" t="s">
        <v>83</v>
      </c>
    </row>
    <row r="21" spans="1:6" x14ac:dyDescent="0.3">
      <c r="A21">
        <v>20</v>
      </c>
      <c r="B21" t="s">
        <v>84</v>
      </c>
      <c r="C21" t="s">
        <v>45</v>
      </c>
      <c r="D21" s="1" t="s">
        <v>85</v>
      </c>
      <c r="E21" t="s">
        <v>86</v>
      </c>
      <c r="F21" t="s">
        <v>87</v>
      </c>
    </row>
    <row r="22" spans="1:6" x14ac:dyDescent="0.3">
      <c r="A22">
        <v>21</v>
      </c>
      <c r="B22" t="s">
        <v>88</v>
      </c>
      <c r="C22" t="s">
        <v>11</v>
      </c>
      <c r="D22" s="1" t="s">
        <v>89</v>
      </c>
      <c r="E22" t="s">
        <v>90</v>
      </c>
      <c r="F22" t="s">
        <v>91</v>
      </c>
    </row>
    <row r="23" spans="1:6" x14ac:dyDescent="0.3">
      <c r="A23">
        <v>22</v>
      </c>
      <c r="B23" t="s">
        <v>92</v>
      </c>
      <c r="C23" t="s">
        <v>45</v>
      </c>
      <c r="D23" s="1" t="s">
        <v>93</v>
      </c>
      <c r="E23" t="s">
        <v>94</v>
      </c>
      <c r="F23">
        <f>1-868-16-4774</f>
        <v>-5657</v>
      </c>
    </row>
    <row r="24" spans="1:6" x14ac:dyDescent="0.3">
      <c r="A24">
        <v>23</v>
      </c>
      <c r="B24" t="s">
        <v>95</v>
      </c>
      <c r="C24" t="s">
        <v>7</v>
      </c>
      <c r="D24" s="1" t="s">
        <v>96</v>
      </c>
      <c r="E24" t="s">
        <v>97</v>
      </c>
      <c r="F24" t="s">
        <v>98</v>
      </c>
    </row>
    <row r="25" spans="1:6" x14ac:dyDescent="0.3">
      <c r="A25">
        <v>24</v>
      </c>
      <c r="B25" t="s">
        <v>99</v>
      </c>
      <c r="C25" t="s">
        <v>7</v>
      </c>
      <c r="D25" s="1" t="s">
        <v>100</v>
      </c>
      <c r="E25" t="s">
        <v>101</v>
      </c>
      <c r="F25" t="s">
        <v>102</v>
      </c>
    </row>
    <row r="26" spans="1:6" x14ac:dyDescent="0.3">
      <c r="A26">
        <v>25</v>
      </c>
      <c r="B26" t="s">
        <v>103</v>
      </c>
      <c r="C26" t="s">
        <v>11</v>
      </c>
      <c r="D26" s="1" t="s">
        <v>104</v>
      </c>
      <c r="E26" t="s">
        <v>105</v>
      </c>
      <c r="F26" t="s">
        <v>106</v>
      </c>
    </row>
    <row r="27" spans="1:6" x14ac:dyDescent="0.3">
      <c r="A27">
        <v>26</v>
      </c>
      <c r="B27" t="s">
        <v>107</v>
      </c>
      <c r="C27" t="s">
        <v>11</v>
      </c>
      <c r="D27" s="1" t="s">
        <v>108</v>
      </c>
      <c r="E27" t="s">
        <v>109</v>
      </c>
      <c r="F27" t="s">
        <v>110</v>
      </c>
    </row>
    <row r="28" spans="1:6" x14ac:dyDescent="0.3">
      <c r="A28">
        <v>27</v>
      </c>
      <c r="B28" t="s">
        <v>111</v>
      </c>
      <c r="C28" t="s">
        <v>7</v>
      </c>
      <c r="D28" s="1" t="s">
        <v>112</v>
      </c>
      <c r="E28" t="s">
        <v>113</v>
      </c>
      <c r="F28" t="s">
        <v>114</v>
      </c>
    </row>
    <row r="29" spans="1:6" x14ac:dyDescent="0.3">
      <c r="A29">
        <v>28</v>
      </c>
      <c r="B29" t="s">
        <v>115</v>
      </c>
      <c r="C29" t="s">
        <v>32</v>
      </c>
      <c r="D29" s="1" t="s">
        <v>116</v>
      </c>
      <c r="E29" t="s">
        <v>117</v>
      </c>
      <c r="F29" t="s">
        <v>118</v>
      </c>
    </row>
    <row r="30" spans="1:6" x14ac:dyDescent="0.3">
      <c r="A30">
        <v>29</v>
      </c>
      <c r="B30" t="s">
        <v>119</v>
      </c>
      <c r="C30" t="s">
        <v>11</v>
      </c>
      <c r="D30" s="1" t="s">
        <v>120</v>
      </c>
      <c r="E30" t="s">
        <v>121</v>
      </c>
      <c r="F30" t="s">
        <v>122</v>
      </c>
    </row>
    <row r="31" spans="1:6" x14ac:dyDescent="0.3">
      <c r="A31">
        <v>30</v>
      </c>
      <c r="B31" t="s">
        <v>123</v>
      </c>
      <c r="C31" t="s">
        <v>45</v>
      </c>
      <c r="D31" s="1" t="s">
        <v>124</v>
      </c>
      <c r="E31" t="s">
        <v>125</v>
      </c>
      <c r="F31" t="s">
        <v>126</v>
      </c>
    </row>
    <row r="32" spans="1:6" x14ac:dyDescent="0.3">
      <c r="A32">
        <v>31</v>
      </c>
      <c r="B32" t="s">
        <v>127</v>
      </c>
      <c r="C32" t="s">
        <v>11</v>
      </c>
      <c r="D32" s="1" t="s">
        <v>128</v>
      </c>
      <c r="E32" t="s">
        <v>129</v>
      </c>
      <c r="F32" t="s">
        <v>130</v>
      </c>
    </row>
    <row r="33" spans="1:6" x14ac:dyDescent="0.3">
      <c r="A33">
        <v>32</v>
      </c>
      <c r="B33" t="s">
        <v>131</v>
      </c>
      <c r="C33" t="s">
        <v>45</v>
      </c>
      <c r="D33" s="1" t="s">
        <v>132</v>
      </c>
      <c r="E33" t="s">
        <v>133</v>
      </c>
      <c r="F33" t="s">
        <v>134</v>
      </c>
    </row>
    <row r="34" spans="1:6" x14ac:dyDescent="0.3">
      <c r="A34">
        <v>33</v>
      </c>
      <c r="B34" t="s">
        <v>135</v>
      </c>
      <c r="C34" t="s">
        <v>32</v>
      </c>
      <c r="D34" s="1" t="s">
        <v>136</v>
      </c>
      <c r="E34" t="s">
        <v>137</v>
      </c>
      <c r="F34" t="s">
        <v>138</v>
      </c>
    </row>
    <row r="35" spans="1:6" x14ac:dyDescent="0.3">
      <c r="A35">
        <v>34</v>
      </c>
      <c r="B35" t="s">
        <v>139</v>
      </c>
      <c r="C35" t="s">
        <v>11</v>
      </c>
      <c r="D35" s="1" t="s">
        <v>140</v>
      </c>
      <c r="E35" t="s">
        <v>141</v>
      </c>
      <c r="F35" t="s">
        <v>142</v>
      </c>
    </row>
    <row r="36" spans="1:6" x14ac:dyDescent="0.3">
      <c r="A36">
        <v>35</v>
      </c>
      <c r="B36" t="s">
        <v>143</v>
      </c>
      <c r="C36" t="s">
        <v>11</v>
      </c>
      <c r="D36" s="1" t="s">
        <v>144</v>
      </c>
      <c r="E36" t="s">
        <v>145</v>
      </c>
      <c r="F36" t="s">
        <v>146</v>
      </c>
    </row>
    <row r="37" spans="1:6" x14ac:dyDescent="0.3">
      <c r="A37">
        <v>36</v>
      </c>
      <c r="B37" t="s">
        <v>147</v>
      </c>
      <c r="C37" t="s">
        <v>32</v>
      </c>
      <c r="D37" s="1" t="s">
        <v>148</v>
      </c>
      <c r="E37" t="s">
        <v>149</v>
      </c>
      <c r="F37" t="s">
        <v>150</v>
      </c>
    </row>
    <row r="38" spans="1:6" x14ac:dyDescent="0.3">
      <c r="A38">
        <v>37</v>
      </c>
      <c r="B38" t="s">
        <v>151</v>
      </c>
      <c r="C38" t="s">
        <v>45</v>
      </c>
      <c r="D38" s="1" t="s">
        <v>152</v>
      </c>
      <c r="E38" t="s">
        <v>153</v>
      </c>
      <c r="F38" t="s">
        <v>154</v>
      </c>
    </row>
    <row r="39" spans="1:6" x14ac:dyDescent="0.3">
      <c r="A39">
        <v>38</v>
      </c>
      <c r="B39" t="s">
        <v>155</v>
      </c>
      <c r="C39" t="s">
        <v>7</v>
      </c>
      <c r="D39" s="1" t="s">
        <v>156</v>
      </c>
      <c r="E39" t="s">
        <v>157</v>
      </c>
      <c r="F39" t="s">
        <v>158</v>
      </c>
    </row>
    <row r="40" spans="1:6" x14ac:dyDescent="0.3">
      <c r="A40">
        <v>39</v>
      </c>
      <c r="B40" t="s">
        <v>159</v>
      </c>
      <c r="C40" t="s">
        <v>7</v>
      </c>
      <c r="D40" s="1" t="s">
        <v>160</v>
      </c>
      <c r="E40" t="s">
        <v>161</v>
      </c>
      <c r="F40" t="s">
        <v>162</v>
      </c>
    </row>
    <row r="41" spans="1:6" x14ac:dyDescent="0.3">
      <c r="A41">
        <v>40</v>
      </c>
      <c r="B41" t="s">
        <v>163</v>
      </c>
      <c r="C41" t="s">
        <v>32</v>
      </c>
      <c r="D41" s="1" t="s">
        <v>164</v>
      </c>
      <c r="E41" t="s">
        <v>165</v>
      </c>
      <c r="F41" t="s">
        <v>166</v>
      </c>
    </row>
    <row r="42" spans="1:6" x14ac:dyDescent="0.3">
      <c r="A42">
        <v>41</v>
      </c>
      <c r="B42" t="s">
        <v>167</v>
      </c>
      <c r="C42" t="s">
        <v>45</v>
      </c>
      <c r="D42" s="1" t="s">
        <v>168</v>
      </c>
      <c r="E42" t="s">
        <v>169</v>
      </c>
      <c r="F42" t="s">
        <v>170</v>
      </c>
    </row>
    <row r="43" spans="1:6" x14ac:dyDescent="0.3">
      <c r="A43">
        <v>42</v>
      </c>
      <c r="B43" t="s">
        <v>171</v>
      </c>
      <c r="C43" t="s">
        <v>11</v>
      </c>
      <c r="D43" s="1" t="s">
        <v>172</v>
      </c>
      <c r="E43" t="s">
        <v>173</v>
      </c>
      <c r="F43" t="s">
        <v>174</v>
      </c>
    </row>
    <row r="44" spans="1:6" x14ac:dyDescent="0.3">
      <c r="A44">
        <v>43</v>
      </c>
      <c r="B44" t="s">
        <v>175</v>
      </c>
      <c r="C44" t="s">
        <v>7</v>
      </c>
      <c r="D44" s="1" t="s">
        <v>176</v>
      </c>
      <c r="E44" t="s">
        <v>177</v>
      </c>
      <c r="F44" t="s">
        <v>178</v>
      </c>
    </row>
    <row r="45" spans="1:6" x14ac:dyDescent="0.3">
      <c r="A45">
        <v>44</v>
      </c>
      <c r="B45" t="s">
        <v>179</v>
      </c>
      <c r="C45" t="s">
        <v>7</v>
      </c>
      <c r="D45" s="1" t="s">
        <v>180</v>
      </c>
      <c r="E45" t="s">
        <v>181</v>
      </c>
      <c r="F45" t="s">
        <v>182</v>
      </c>
    </row>
    <row r="46" spans="1:6" x14ac:dyDescent="0.3">
      <c r="A46">
        <v>45</v>
      </c>
      <c r="B46" t="s">
        <v>183</v>
      </c>
      <c r="C46" t="s">
        <v>45</v>
      </c>
      <c r="D46" s="1" t="s">
        <v>184</v>
      </c>
      <c r="E46" t="s">
        <v>185</v>
      </c>
      <c r="F46" t="s">
        <v>186</v>
      </c>
    </row>
    <row r="47" spans="1:6" x14ac:dyDescent="0.3">
      <c r="A47">
        <v>46</v>
      </c>
      <c r="B47" t="s">
        <v>187</v>
      </c>
      <c r="C47" t="s">
        <v>11</v>
      </c>
      <c r="D47" s="1" t="s">
        <v>188</v>
      </c>
      <c r="E47" t="s">
        <v>189</v>
      </c>
      <c r="F47" t="s">
        <v>190</v>
      </c>
    </row>
    <row r="48" spans="1:6" x14ac:dyDescent="0.3">
      <c r="A48">
        <v>47</v>
      </c>
      <c r="B48" t="s">
        <v>191</v>
      </c>
      <c r="C48" t="s">
        <v>7</v>
      </c>
      <c r="D48" s="1" t="s">
        <v>192</v>
      </c>
      <c r="E48" t="s">
        <v>193</v>
      </c>
      <c r="F48" t="s">
        <v>194</v>
      </c>
    </row>
    <row r="49" spans="1:6" x14ac:dyDescent="0.3">
      <c r="A49">
        <v>48</v>
      </c>
      <c r="B49" t="s">
        <v>195</v>
      </c>
      <c r="C49" t="s">
        <v>32</v>
      </c>
      <c r="D49" s="1" t="s">
        <v>196</v>
      </c>
      <c r="E49" t="s">
        <v>197</v>
      </c>
      <c r="F49" t="s">
        <v>198</v>
      </c>
    </row>
    <row r="50" spans="1:6" x14ac:dyDescent="0.3">
      <c r="A50">
        <v>49</v>
      </c>
      <c r="B50" t="s">
        <v>199</v>
      </c>
      <c r="C50" t="s">
        <v>7</v>
      </c>
      <c r="D50" s="1" t="s">
        <v>200</v>
      </c>
      <c r="E50" t="s">
        <v>201</v>
      </c>
      <c r="F50" t="s">
        <v>202</v>
      </c>
    </row>
    <row r="51" spans="1:6" x14ac:dyDescent="0.3">
      <c r="A51">
        <v>50</v>
      </c>
      <c r="B51" t="s">
        <v>203</v>
      </c>
      <c r="C51" t="s">
        <v>45</v>
      </c>
      <c r="D51" s="1" t="s">
        <v>204</v>
      </c>
      <c r="E51" t="s">
        <v>205</v>
      </c>
      <c r="F51" t="s">
        <v>206</v>
      </c>
    </row>
    <row r="52" spans="1:6" x14ac:dyDescent="0.3">
      <c r="A52">
        <v>51</v>
      </c>
      <c r="B52" t="s">
        <v>207</v>
      </c>
      <c r="C52" t="s">
        <v>32</v>
      </c>
      <c r="D52" s="1" t="s">
        <v>208</v>
      </c>
      <c r="E52" t="s">
        <v>209</v>
      </c>
      <c r="F52">
        <v>7059011779</v>
      </c>
    </row>
    <row r="53" spans="1:6" x14ac:dyDescent="0.3">
      <c r="A53">
        <v>52</v>
      </c>
      <c r="B53" t="s">
        <v>210</v>
      </c>
      <c r="C53" t="s">
        <v>7</v>
      </c>
      <c r="D53" s="1" t="s">
        <v>211</v>
      </c>
      <c r="E53" t="s">
        <v>212</v>
      </c>
      <c r="F53" t="s">
        <v>213</v>
      </c>
    </row>
    <row r="54" spans="1:6" x14ac:dyDescent="0.3">
      <c r="A54">
        <v>53</v>
      </c>
      <c r="B54" t="s">
        <v>214</v>
      </c>
      <c r="C54" t="s">
        <v>7</v>
      </c>
      <c r="D54" s="1" t="s">
        <v>215</v>
      </c>
      <c r="E54" t="s">
        <v>216</v>
      </c>
      <c r="F54" t="s">
        <v>217</v>
      </c>
    </row>
    <row r="55" spans="1:6" x14ac:dyDescent="0.3">
      <c r="A55">
        <v>54</v>
      </c>
      <c r="B55" t="s">
        <v>218</v>
      </c>
      <c r="C55" t="s">
        <v>7</v>
      </c>
      <c r="D55" s="1" t="s">
        <v>219</v>
      </c>
      <c r="E55" t="s">
        <v>220</v>
      </c>
      <c r="F55" t="s">
        <v>221</v>
      </c>
    </row>
    <row r="56" spans="1:6" x14ac:dyDescent="0.3">
      <c r="A56">
        <v>55</v>
      </c>
      <c r="B56" t="s">
        <v>222</v>
      </c>
      <c r="C56" t="s">
        <v>11</v>
      </c>
      <c r="D56" s="1" t="s">
        <v>223</v>
      </c>
      <c r="E56" t="s">
        <v>224</v>
      </c>
      <c r="F56" t="s">
        <v>225</v>
      </c>
    </row>
    <row r="57" spans="1:6" x14ac:dyDescent="0.3">
      <c r="A57">
        <v>56</v>
      </c>
      <c r="B57" t="s">
        <v>226</v>
      </c>
      <c r="C57" t="s">
        <v>45</v>
      </c>
      <c r="D57" s="1" t="s">
        <v>227</v>
      </c>
      <c r="E57" t="s">
        <v>228</v>
      </c>
      <c r="F57" t="s">
        <v>229</v>
      </c>
    </row>
    <row r="58" spans="1:6" x14ac:dyDescent="0.3">
      <c r="A58">
        <v>57</v>
      </c>
      <c r="B58" t="s">
        <v>230</v>
      </c>
      <c r="C58" t="s">
        <v>11</v>
      </c>
      <c r="D58" s="1" t="s">
        <v>231</v>
      </c>
      <c r="E58" t="s">
        <v>232</v>
      </c>
      <c r="F58" t="s">
        <v>233</v>
      </c>
    </row>
    <row r="59" spans="1:6" x14ac:dyDescent="0.3">
      <c r="A59">
        <v>58</v>
      </c>
      <c r="B59" t="s">
        <v>234</v>
      </c>
      <c r="C59" t="s">
        <v>11</v>
      </c>
      <c r="D59" s="1" t="s">
        <v>235</v>
      </c>
      <c r="E59" t="s">
        <v>236</v>
      </c>
      <c r="F59" t="s">
        <v>237</v>
      </c>
    </row>
    <row r="60" spans="1:6" x14ac:dyDescent="0.3">
      <c r="A60">
        <v>59</v>
      </c>
      <c r="B60" t="s">
        <v>238</v>
      </c>
      <c r="C60" t="s">
        <v>11</v>
      </c>
      <c r="D60" s="1" t="s">
        <v>239</v>
      </c>
      <c r="E60" t="s">
        <v>240</v>
      </c>
      <c r="F60" t="s">
        <v>241</v>
      </c>
    </row>
    <row r="61" spans="1:6" x14ac:dyDescent="0.3">
      <c r="A61">
        <v>60</v>
      </c>
      <c r="B61" t="s">
        <v>242</v>
      </c>
      <c r="C61" t="s">
        <v>32</v>
      </c>
      <c r="D61" s="1" t="s">
        <v>243</v>
      </c>
      <c r="E61" t="s">
        <v>244</v>
      </c>
      <c r="F61" t="s">
        <v>245</v>
      </c>
    </row>
    <row r="62" spans="1:6" x14ac:dyDescent="0.3">
      <c r="A62">
        <v>61</v>
      </c>
      <c r="B62" t="s">
        <v>246</v>
      </c>
      <c r="C62" t="s">
        <v>7</v>
      </c>
      <c r="D62" s="1" t="s">
        <v>247</v>
      </c>
      <c r="E62" t="s">
        <v>248</v>
      </c>
      <c r="F62" t="s">
        <v>249</v>
      </c>
    </row>
    <row r="63" spans="1:6" x14ac:dyDescent="0.3">
      <c r="A63">
        <v>62</v>
      </c>
      <c r="B63" t="s">
        <v>250</v>
      </c>
      <c r="C63" t="s">
        <v>11</v>
      </c>
      <c r="D63" s="1" t="s">
        <v>251</v>
      </c>
      <c r="E63" t="s">
        <v>252</v>
      </c>
      <c r="F63" t="s">
        <v>253</v>
      </c>
    </row>
    <row r="64" spans="1:6" x14ac:dyDescent="0.3">
      <c r="A64">
        <v>63</v>
      </c>
      <c r="B64" t="s">
        <v>254</v>
      </c>
      <c r="C64" t="s">
        <v>7</v>
      </c>
      <c r="D64" s="1" t="s">
        <v>255</v>
      </c>
      <c r="E64" t="s">
        <v>256</v>
      </c>
      <c r="F64" t="s">
        <v>257</v>
      </c>
    </row>
    <row r="65" spans="1:6" x14ac:dyDescent="0.3">
      <c r="A65">
        <v>64</v>
      </c>
      <c r="B65" t="s">
        <v>258</v>
      </c>
      <c r="C65" t="s">
        <v>7</v>
      </c>
      <c r="D65" s="1" t="s">
        <v>259</v>
      </c>
      <c r="E65" t="s">
        <v>260</v>
      </c>
      <c r="F65" t="s">
        <v>261</v>
      </c>
    </row>
    <row r="66" spans="1:6" x14ac:dyDescent="0.3">
      <c r="A66">
        <v>65</v>
      </c>
      <c r="B66" t="s">
        <v>262</v>
      </c>
      <c r="C66" t="s">
        <v>11</v>
      </c>
      <c r="D66" s="1" t="s">
        <v>263</v>
      </c>
      <c r="E66" t="s">
        <v>264</v>
      </c>
      <c r="F66">
        <f>1-445-3-6513</f>
        <v>-6960</v>
      </c>
    </row>
    <row r="67" spans="1:6" x14ac:dyDescent="0.3">
      <c r="A67">
        <v>66</v>
      </c>
      <c r="B67" t="s">
        <v>265</v>
      </c>
      <c r="C67" t="s">
        <v>32</v>
      </c>
      <c r="D67" s="1" t="s">
        <v>266</v>
      </c>
      <c r="E67" t="s">
        <v>267</v>
      </c>
      <c r="F67" t="s">
        <v>268</v>
      </c>
    </row>
    <row r="68" spans="1:6" x14ac:dyDescent="0.3">
      <c r="A68">
        <v>67</v>
      </c>
      <c r="B68" t="s">
        <v>269</v>
      </c>
      <c r="C68" t="s">
        <v>32</v>
      </c>
      <c r="D68" s="1" t="s">
        <v>270</v>
      </c>
      <c r="E68" t="s">
        <v>271</v>
      </c>
      <c r="F68" t="s">
        <v>272</v>
      </c>
    </row>
    <row r="69" spans="1:6" x14ac:dyDescent="0.3">
      <c r="A69">
        <v>68</v>
      </c>
      <c r="B69" t="s">
        <v>273</v>
      </c>
      <c r="C69" t="s">
        <v>7</v>
      </c>
      <c r="D69" s="1" t="s">
        <v>274</v>
      </c>
      <c r="E69" t="s">
        <v>275</v>
      </c>
      <c r="F69" t="s">
        <v>276</v>
      </c>
    </row>
    <row r="70" spans="1:6" x14ac:dyDescent="0.3">
      <c r="A70">
        <v>69</v>
      </c>
      <c r="B70" t="s">
        <v>277</v>
      </c>
      <c r="C70" t="s">
        <v>11</v>
      </c>
      <c r="D70" s="1" t="s">
        <v>278</v>
      </c>
      <c r="E70" t="s">
        <v>279</v>
      </c>
      <c r="F70" t="s">
        <v>280</v>
      </c>
    </row>
    <row r="71" spans="1:6" x14ac:dyDescent="0.3">
      <c r="A71">
        <v>70</v>
      </c>
      <c r="B71" t="s">
        <v>281</v>
      </c>
      <c r="C71" t="s">
        <v>7</v>
      </c>
      <c r="D71" s="1" t="s">
        <v>282</v>
      </c>
      <c r="E71" t="s">
        <v>283</v>
      </c>
      <c r="F71" t="s">
        <v>284</v>
      </c>
    </row>
    <row r="72" spans="1:6" x14ac:dyDescent="0.3">
      <c r="A72">
        <v>71</v>
      </c>
      <c r="B72" t="s">
        <v>285</v>
      </c>
      <c r="C72" t="s">
        <v>32</v>
      </c>
      <c r="D72" s="1" t="s">
        <v>286</v>
      </c>
      <c r="E72" t="s">
        <v>287</v>
      </c>
      <c r="F72" t="s">
        <v>288</v>
      </c>
    </row>
    <row r="73" spans="1:6" x14ac:dyDescent="0.3">
      <c r="A73">
        <v>72</v>
      </c>
      <c r="B73" t="s">
        <v>289</v>
      </c>
      <c r="C73" t="s">
        <v>45</v>
      </c>
      <c r="D73" s="1" t="s">
        <v>290</v>
      </c>
      <c r="E73" t="s">
        <v>291</v>
      </c>
      <c r="F73">
        <f>1-454-823-5622</f>
        <v>-6898</v>
      </c>
    </row>
    <row r="74" spans="1:6" x14ac:dyDescent="0.3">
      <c r="A74">
        <v>73</v>
      </c>
      <c r="B74" t="s">
        <v>292</v>
      </c>
      <c r="C74" t="s">
        <v>11</v>
      </c>
      <c r="D74" s="1" t="s">
        <v>293</v>
      </c>
      <c r="E74" t="s">
        <v>294</v>
      </c>
      <c r="F74">
        <f>1-862-704-7597</f>
        <v>-9162</v>
      </c>
    </row>
    <row r="75" spans="1:6" x14ac:dyDescent="0.3">
      <c r="A75">
        <v>74</v>
      </c>
      <c r="B75" t="s">
        <v>295</v>
      </c>
      <c r="C75" t="s">
        <v>45</v>
      </c>
      <c r="D75" s="1" t="s">
        <v>296</v>
      </c>
      <c r="E75" t="s">
        <v>297</v>
      </c>
      <c r="F75">
        <v>5630753213</v>
      </c>
    </row>
    <row r="76" spans="1:6" x14ac:dyDescent="0.3">
      <c r="A76">
        <v>75</v>
      </c>
      <c r="B76" t="s">
        <v>298</v>
      </c>
      <c r="C76" t="s">
        <v>7</v>
      </c>
      <c r="D76" s="1" t="s">
        <v>299</v>
      </c>
      <c r="E76" t="s">
        <v>300</v>
      </c>
      <c r="F76">
        <v>7650701698</v>
      </c>
    </row>
    <row r="77" spans="1:6" x14ac:dyDescent="0.3">
      <c r="A77">
        <v>76</v>
      </c>
      <c r="B77" t="s">
        <v>301</v>
      </c>
      <c r="C77" t="s">
        <v>32</v>
      </c>
      <c r="D77" s="1" t="s">
        <v>302</v>
      </c>
      <c r="E77" t="s">
        <v>303</v>
      </c>
      <c r="F77" t="s">
        <v>304</v>
      </c>
    </row>
    <row r="78" spans="1:6" x14ac:dyDescent="0.3">
      <c r="A78">
        <v>77</v>
      </c>
      <c r="B78" t="s">
        <v>305</v>
      </c>
      <c r="C78" t="s">
        <v>45</v>
      </c>
      <c r="D78" s="1" t="s">
        <v>306</v>
      </c>
      <c r="E78" t="s">
        <v>307</v>
      </c>
      <c r="F78" t="s">
        <v>308</v>
      </c>
    </row>
    <row r="79" spans="1:6" x14ac:dyDescent="0.3">
      <c r="A79">
        <v>78</v>
      </c>
      <c r="B79" t="s">
        <v>309</v>
      </c>
      <c r="C79" t="s">
        <v>32</v>
      </c>
      <c r="D79" s="1" t="s">
        <v>310</v>
      </c>
      <c r="E79" t="s">
        <v>311</v>
      </c>
      <c r="F79">
        <v>5883270069</v>
      </c>
    </row>
    <row r="80" spans="1:6" x14ac:dyDescent="0.3">
      <c r="A80">
        <v>79</v>
      </c>
      <c r="B80" t="s">
        <v>312</v>
      </c>
      <c r="C80" t="s">
        <v>32</v>
      </c>
      <c r="D80" s="1" t="s">
        <v>313</v>
      </c>
      <c r="E80" t="s">
        <v>314</v>
      </c>
      <c r="F80" t="s">
        <v>315</v>
      </c>
    </row>
    <row r="81" spans="1:6" x14ac:dyDescent="0.3">
      <c r="A81">
        <v>80</v>
      </c>
      <c r="B81" t="s">
        <v>316</v>
      </c>
      <c r="C81" t="s">
        <v>11</v>
      </c>
      <c r="D81" s="1" t="s">
        <v>317</v>
      </c>
      <c r="E81" t="s">
        <v>318</v>
      </c>
      <c r="F81" t="s">
        <v>319</v>
      </c>
    </row>
    <row r="82" spans="1:6" x14ac:dyDescent="0.3">
      <c r="A82">
        <v>81</v>
      </c>
      <c r="B82" t="s">
        <v>320</v>
      </c>
      <c r="C82" t="s">
        <v>11</v>
      </c>
      <c r="D82" s="1" t="s">
        <v>321</v>
      </c>
      <c r="E82" t="s">
        <v>322</v>
      </c>
      <c r="F82" t="s">
        <v>323</v>
      </c>
    </row>
    <row r="83" spans="1:6" x14ac:dyDescent="0.3">
      <c r="A83">
        <v>82</v>
      </c>
      <c r="B83" t="s">
        <v>324</v>
      </c>
      <c r="C83" t="s">
        <v>7</v>
      </c>
      <c r="D83" s="1" t="s">
        <v>325</v>
      </c>
      <c r="E83" t="s">
        <v>326</v>
      </c>
      <c r="F83" t="s">
        <v>327</v>
      </c>
    </row>
    <row r="84" spans="1:6" x14ac:dyDescent="0.3">
      <c r="A84">
        <v>83</v>
      </c>
      <c r="B84" t="s">
        <v>328</v>
      </c>
      <c r="C84" t="s">
        <v>11</v>
      </c>
      <c r="D84" s="1" t="s">
        <v>329</v>
      </c>
      <c r="E84" t="s">
        <v>330</v>
      </c>
      <c r="F84" t="s">
        <v>331</v>
      </c>
    </row>
    <row r="85" spans="1:6" x14ac:dyDescent="0.3">
      <c r="A85">
        <v>84</v>
      </c>
      <c r="B85" t="s">
        <v>332</v>
      </c>
      <c r="C85" t="s">
        <v>32</v>
      </c>
      <c r="D85" s="1" t="s">
        <v>333</v>
      </c>
      <c r="E85" t="s">
        <v>334</v>
      </c>
      <c r="F85" t="s">
        <v>335</v>
      </c>
    </row>
    <row r="86" spans="1:6" x14ac:dyDescent="0.3">
      <c r="A86">
        <v>85</v>
      </c>
      <c r="B86" t="s">
        <v>336</v>
      </c>
      <c r="C86" t="s">
        <v>45</v>
      </c>
      <c r="D86" s="1" t="s">
        <v>337</v>
      </c>
      <c r="E86" t="s">
        <v>338</v>
      </c>
      <c r="F86" t="s">
        <v>339</v>
      </c>
    </row>
    <row r="87" spans="1:6" x14ac:dyDescent="0.3">
      <c r="A87">
        <v>86</v>
      </c>
      <c r="B87" t="s">
        <v>340</v>
      </c>
      <c r="C87" t="s">
        <v>45</v>
      </c>
      <c r="D87" s="1" t="s">
        <v>341</v>
      </c>
      <c r="E87" t="s">
        <v>342</v>
      </c>
      <c r="F87" t="s">
        <v>343</v>
      </c>
    </row>
    <row r="88" spans="1:6" x14ac:dyDescent="0.3">
      <c r="A88">
        <v>87</v>
      </c>
      <c r="B88" t="s">
        <v>344</v>
      </c>
      <c r="C88" t="s">
        <v>11</v>
      </c>
      <c r="D88" s="1" t="s">
        <v>345</v>
      </c>
      <c r="E88" t="s">
        <v>346</v>
      </c>
      <c r="F88" t="s">
        <v>347</v>
      </c>
    </row>
    <row r="89" spans="1:6" x14ac:dyDescent="0.3">
      <c r="A89">
        <v>88</v>
      </c>
      <c r="B89" t="s">
        <v>348</v>
      </c>
      <c r="C89" t="s">
        <v>32</v>
      </c>
      <c r="D89" s="1" t="s">
        <v>349</v>
      </c>
      <c r="E89" t="s">
        <v>350</v>
      </c>
      <c r="F89" t="s">
        <v>351</v>
      </c>
    </row>
    <row r="90" spans="1:6" x14ac:dyDescent="0.3">
      <c r="A90">
        <v>89</v>
      </c>
      <c r="B90" t="s">
        <v>352</v>
      </c>
      <c r="C90" t="s">
        <v>32</v>
      </c>
      <c r="D90" s="1" t="s">
        <v>353</v>
      </c>
      <c r="E90" t="s">
        <v>354</v>
      </c>
      <c r="F90" t="s">
        <v>355</v>
      </c>
    </row>
    <row r="91" spans="1:6" x14ac:dyDescent="0.3">
      <c r="A91">
        <v>90</v>
      </c>
      <c r="B91" t="s">
        <v>356</v>
      </c>
      <c r="C91" t="s">
        <v>7</v>
      </c>
      <c r="D91" s="1" t="s">
        <v>357</v>
      </c>
      <c r="E91" t="s">
        <v>358</v>
      </c>
      <c r="F91" t="s">
        <v>359</v>
      </c>
    </row>
    <row r="92" spans="1:6" x14ac:dyDescent="0.3">
      <c r="A92">
        <v>91</v>
      </c>
      <c r="B92" t="s">
        <v>360</v>
      </c>
      <c r="C92" t="s">
        <v>7</v>
      </c>
      <c r="D92" s="1" t="s">
        <v>361</v>
      </c>
      <c r="E92" t="s">
        <v>362</v>
      </c>
      <c r="F92" t="s">
        <v>363</v>
      </c>
    </row>
    <row r="93" spans="1:6" x14ac:dyDescent="0.3">
      <c r="A93">
        <v>92</v>
      </c>
      <c r="B93" t="s">
        <v>364</v>
      </c>
      <c r="C93" t="s">
        <v>45</v>
      </c>
      <c r="D93" s="1" t="s">
        <v>365</v>
      </c>
      <c r="E93" t="s">
        <v>366</v>
      </c>
      <c r="F93" t="s">
        <v>367</v>
      </c>
    </row>
    <row r="94" spans="1:6" x14ac:dyDescent="0.3">
      <c r="A94">
        <v>93</v>
      </c>
      <c r="B94" t="s">
        <v>368</v>
      </c>
      <c r="C94" t="s">
        <v>7</v>
      </c>
      <c r="D94" s="1" t="s">
        <v>369</v>
      </c>
      <c r="E94" t="s">
        <v>370</v>
      </c>
      <c r="F94" t="s">
        <v>371</v>
      </c>
    </row>
    <row r="95" spans="1:6" x14ac:dyDescent="0.3">
      <c r="A95">
        <v>94</v>
      </c>
      <c r="B95" t="s">
        <v>372</v>
      </c>
      <c r="C95" t="s">
        <v>11</v>
      </c>
      <c r="D95" s="1" t="s">
        <v>373</v>
      </c>
      <c r="E95" t="s">
        <v>374</v>
      </c>
      <c r="F95" t="s">
        <v>375</v>
      </c>
    </row>
    <row r="96" spans="1:6" x14ac:dyDescent="0.3">
      <c r="A96">
        <v>95</v>
      </c>
      <c r="B96" t="s">
        <v>376</v>
      </c>
      <c r="C96" t="s">
        <v>7</v>
      </c>
      <c r="D96" s="1" t="s">
        <v>377</v>
      </c>
      <c r="E96" t="s">
        <v>378</v>
      </c>
      <c r="F96">
        <f>1-415-991-8966</f>
        <v>-10371</v>
      </c>
    </row>
    <row r="97" spans="1:6" x14ac:dyDescent="0.3">
      <c r="A97">
        <v>96</v>
      </c>
      <c r="B97" t="s">
        <v>379</v>
      </c>
      <c r="C97" t="s">
        <v>11</v>
      </c>
      <c r="D97" s="1" t="s">
        <v>380</v>
      </c>
      <c r="E97" t="s">
        <v>381</v>
      </c>
      <c r="F97" t="s">
        <v>382</v>
      </c>
    </row>
    <row r="98" spans="1:6" x14ac:dyDescent="0.3">
      <c r="A98">
        <v>97</v>
      </c>
      <c r="B98" t="s">
        <v>383</v>
      </c>
      <c r="C98" t="s">
        <v>7</v>
      </c>
      <c r="D98" s="1" t="s">
        <v>384</v>
      </c>
      <c r="E98" t="s">
        <v>385</v>
      </c>
      <c r="F98" t="s">
        <v>386</v>
      </c>
    </row>
    <row r="99" spans="1:6" x14ac:dyDescent="0.3">
      <c r="A99">
        <v>98</v>
      </c>
      <c r="B99" t="s">
        <v>387</v>
      </c>
      <c r="C99" t="s">
        <v>7</v>
      </c>
      <c r="D99" s="1" t="s">
        <v>388</v>
      </c>
      <c r="E99" t="s">
        <v>389</v>
      </c>
      <c r="F99" t="s">
        <v>390</v>
      </c>
    </row>
    <row r="100" spans="1:6" x14ac:dyDescent="0.3">
      <c r="A100">
        <v>99</v>
      </c>
      <c r="B100" t="s">
        <v>391</v>
      </c>
      <c r="C100" t="s">
        <v>7</v>
      </c>
      <c r="D100" s="1" t="s">
        <v>392</v>
      </c>
      <c r="E100" t="s">
        <v>393</v>
      </c>
      <c r="F100" t="s">
        <v>394</v>
      </c>
    </row>
    <row r="101" spans="1:6" x14ac:dyDescent="0.3">
      <c r="A101">
        <v>100</v>
      </c>
      <c r="B101" t="s">
        <v>395</v>
      </c>
      <c r="C101" t="s">
        <v>45</v>
      </c>
      <c r="D101" s="1" t="s">
        <v>396</v>
      </c>
      <c r="E101" t="s">
        <v>397</v>
      </c>
      <c r="F101" t="s">
        <v>398</v>
      </c>
    </row>
    <row r="102" spans="1:6" x14ac:dyDescent="0.3">
      <c r="A102">
        <v>101</v>
      </c>
      <c r="B102" t="s">
        <v>399</v>
      </c>
      <c r="C102" t="s">
        <v>32</v>
      </c>
      <c r="D102" s="1" t="s">
        <v>400</v>
      </c>
      <c r="E102" t="s">
        <v>401</v>
      </c>
      <c r="F102" t="s">
        <v>402</v>
      </c>
    </row>
    <row r="103" spans="1:6" x14ac:dyDescent="0.3">
      <c r="A103">
        <v>102</v>
      </c>
      <c r="B103" t="s">
        <v>403</v>
      </c>
      <c r="C103" t="s">
        <v>11</v>
      </c>
      <c r="D103" s="1" t="s">
        <v>404</v>
      </c>
      <c r="E103" t="s">
        <v>405</v>
      </c>
      <c r="F103" t="s">
        <v>406</v>
      </c>
    </row>
    <row r="104" spans="1:6" x14ac:dyDescent="0.3">
      <c r="A104">
        <v>103</v>
      </c>
      <c r="B104" t="s">
        <v>407</v>
      </c>
      <c r="C104" t="s">
        <v>45</v>
      </c>
      <c r="D104" s="1" t="s">
        <v>408</v>
      </c>
      <c r="E104" t="s">
        <v>409</v>
      </c>
      <c r="F104" t="s">
        <v>410</v>
      </c>
    </row>
    <row r="105" spans="1:6" x14ac:dyDescent="0.3">
      <c r="A105">
        <v>104</v>
      </c>
      <c r="B105" t="s">
        <v>411</v>
      </c>
      <c r="C105" t="s">
        <v>45</v>
      </c>
      <c r="D105" s="1" t="s">
        <v>412</v>
      </c>
      <c r="E105" t="s">
        <v>413</v>
      </c>
      <c r="F105" t="s">
        <v>414</v>
      </c>
    </row>
    <row r="106" spans="1:6" x14ac:dyDescent="0.3">
      <c r="A106">
        <v>105</v>
      </c>
      <c r="B106" t="s">
        <v>415</v>
      </c>
      <c r="C106" t="s">
        <v>32</v>
      </c>
      <c r="D106" s="1" t="s">
        <v>416</v>
      </c>
      <c r="E106" t="s">
        <v>417</v>
      </c>
      <c r="F106" t="s">
        <v>418</v>
      </c>
    </row>
    <row r="107" spans="1:6" x14ac:dyDescent="0.3">
      <c r="A107">
        <v>106</v>
      </c>
      <c r="B107" t="s">
        <v>419</v>
      </c>
      <c r="C107" t="s">
        <v>45</v>
      </c>
      <c r="D107" s="1" t="s">
        <v>420</v>
      </c>
      <c r="E107" t="s">
        <v>421</v>
      </c>
      <c r="F107" t="s">
        <v>422</v>
      </c>
    </row>
    <row r="108" spans="1:6" x14ac:dyDescent="0.3">
      <c r="A108">
        <v>107</v>
      </c>
      <c r="B108" t="s">
        <v>423</v>
      </c>
      <c r="C108" t="s">
        <v>32</v>
      </c>
      <c r="D108" s="1" t="s">
        <v>424</v>
      </c>
      <c r="E108" t="s">
        <v>326</v>
      </c>
      <c r="F108">
        <v>7599766878</v>
      </c>
    </row>
    <row r="109" spans="1:6" x14ac:dyDescent="0.3">
      <c r="A109">
        <v>108</v>
      </c>
      <c r="B109" t="s">
        <v>425</v>
      </c>
      <c r="C109" t="s">
        <v>7</v>
      </c>
      <c r="D109" s="1" t="s">
        <v>426</v>
      </c>
      <c r="E109" t="s">
        <v>427</v>
      </c>
      <c r="F109" t="s">
        <v>428</v>
      </c>
    </row>
    <row r="110" spans="1:6" x14ac:dyDescent="0.3">
      <c r="A110">
        <v>109</v>
      </c>
      <c r="B110" t="s">
        <v>429</v>
      </c>
      <c r="C110" t="s">
        <v>45</v>
      </c>
      <c r="D110" s="1" t="s">
        <v>430</v>
      </c>
      <c r="E110" t="s">
        <v>431</v>
      </c>
      <c r="F110" t="s">
        <v>432</v>
      </c>
    </row>
    <row r="111" spans="1:6" x14ac:dyDescent="0.3">
      <c r="A111">
        <v>110</v>
      </c>
      <c r="B111" t="s">
        <v>433</v>
      </c>
      <c r="C111" t="s">
        <v>11</v>
      </c>
      <c r="D111" s="1" t="s">
        <v>434</v>
      </c>
      <c r="E111" t="s">
        <v>435</v>
      </c>
      <c r="F111" t="s">
        <v>436</v>
      </c>
    </row>
    <row r="112" spans="1:6" x14ac:dyDescent="0.3">
      <c r="A112">
        <v>111</v>
      </c>
      <c r="B112" t="s">
        <v>437</v>
      </c>
      <c r="C112" t="s">
        <v>7</v>
      </c>
      <c r="D112" s="1" t="s">
        <v>438</v>
      </c>
      <c r="E112" t="s">
        <v>439</v>
      </c>
      <c r="F112" t="s">
        <v>440</v>
      </c>
    </row>
    <row r="113" spans="1:6" x14ac:dyDescent="0.3">
      <c r="A113">
        <v>112</v>
      </c>
      <c r="B113" t="s">
        <v>441</v>
      </c>
      <c r="C113" t="s">
        <v>32</v>
      </c>
      <c r="D113" s="1" t="s">
        <v>442</v>
      </c>
      <c r="E113" t="s">
        <v>443</v>
      </c>
      <c r="F113" t="s">
        <v>444</v>
      </c>
    </row>
    <row r="114" spans="1:6" x14ac:dyDescent="0.3">
      <c r="A114">
        <v>113</v>
      </c>
      <c r="B114" t="s">
        <v>445</v>
      </c>
      <c r="C114" t="s">
        <v>45</v>
      </c>
      <c r="D114" s="1" t="s">
        <v>446</v>
      </c>
      <c r="E114" t="s">
        <v>447</v>
      </c>
      <c r="F114" t="s">
        <v>448</v>
      </c>
    </row>
    <row r="115" spans="1:6" x14ac:dyDescent="0.3">
      <c r="A115">
        <v>114</v>
      </c>
      <c r="B115" t="s">
        <v>449</v>
      </c>
      <c r="C115" t="s">
        <v>32</v>
      </c>
      <c r="D115" s="1" t="s">
        <v>450</v>
      </c>
      <c r="E115" t="s">
        <v>451</v>
      </c>
      <c r="F115" t="s">
        <v>452</v>
      </c>
    </row>
    <row r="116" spans="1:6" x14ac:dyDescent="0.3">
      <c r="A116">
        <v>115</v>
      </c>
      <c r="B116" t="s">
        <v>453</v>
      </c>
      <c r="C116" t="s">
        <v>11</v>
      </c>
      <c r="D116" s="1" t="s">
        <v>454</v>
      </c>
      <c r="E116" t="s">
        <v>455</v>
      </c>
      <c r="F116" t="s">
        <v>456</v>
      </c>
    </row>
    <row r="117" spans="1:6" x14ac:dyDescent="0.3">
      <c r="A117">
        <v>116</v>
      </c>
      <c r="B117" t="s">
        <v>457</v>
      </c>
      <c r="C117" t="s">
        <v>11</v>
      </c>
      <c r="D117" s="1" t="s">
        <v>458</v>
      </c>
      <c r="E117" t="s">
        <v>459</v>
      </c>
      <c r="F117" t="s">
        <v>460</v>
      </c>
    </row>
    <row r="118" spans="1:6" x14ac:dyDescent="0.3">
      <c r="A118">
        <v>117</v>
      </c>
      <c r="B118" t="s">
        <v>461</v>
      </c>
      <c r="C118" t="s">
        <v>32</v>
      </c>
      <c r="D118" s="1" t="s">
        <v>462</v>
      </c>
      <c r="E118" t="s">
        <v>463</v>
      </c>
      <c r="F118" t="s">
        <v>464</v>
      </c>
    </row>
    <row r="119" spans="1:6" x14ac:dyDescent="0.3">
      <c r="A119">
        <v>118</v>
      </c>
      <c r="B119" t="s">
        <v>465</v>
      </c>
      <c r="C119" t="s">
        <v>7</v>
      </c>
      <c r="D119" s="1" t="s">
        <v>466</v>
      </c>
      <c r="E119" t="s">
        <v>467</v>
      </c>
      <c r="F119" t="s">
        <v>468</v>
      </c>
    </row>
    <row r="120" spans="1:6" x14ac:dyDescent="0.3">
      <c r="A120">
        <v>119</v>
      </c>
      <c r="B120" t="s">
        <v>469</v>
      </c>
      <c r="C120" t="s">
        <v>32</v>
      </c>
      <c r="D120" s="1" t="s">
        <v>470</v>
      </c>
      <c r="E120" t="s">
        <v>471</v>
      </c>
      <c r="F120" t="s">
        <v>472</v>
      </c>
    </row>
    <row r="121" spans="1:6" x14ac:dyDescent="0.3">
      <c r="A121">
        <v>120</v>
      </c>
      <c r="B121" t="s">
        <v>473</v>
      </c>
      <c r="C121" t="s">
        <v>32</v>
      </c>
      <c r="D121" s="1" t="s">
        <v>474</v>
      </c>
      <c r="E121" t="s">
        <v>475</v>
      </c>
      <c r="F121" t="s">
        <v>476</v>
      </c>
    </row>
    <row r="122" spans="1:6" x14ac:dyDescent="0.3">
      <c r="A122">
        <v>121</v>
      </c>
      <c r="B122" t="s">
        <v>477</v>
      </c>
      <c r="C122" t="s">
        <v>11</v>
      </c>
      <c r="D122" s="1" t="s">
        <v>478</v>
      </c>
      <c r="E122" t="s">
        <v>479</v>
      </c>
      <c r="F122" t="s">
        <v>480</v>
      </c>
    </row>
    <row r="123" spans="1:6" x14ac:dyDescent="0.3">
      <c r="A123">
        <v>122</v>
      </c>
      <c r="B123" t="s">
        <v>481</v>
      </c>
      <c r="C123" t="s">
        <v>45</v>
      </c>
      <c r="D123" s="1" t="s">
        <v>482</v>
      </c>
      <c r="E123" t="s">
        <v>483</v>
      </c>
      <c r="F123" t="s">
        <v>484</v>
      </c>
    </row>
    <row r="124" spans="1:6" x14ac:dyDescent="0.3">
      <c r="A124">
        <v>123</v>
      </c>
      <c r="B124" t="s">
        <v>485</v>
      </c>
      <c r="C124" t="s">
        <v>11</v>
      </c>
      <c r="D124" s="1" t="s">
        <v>486</v>
      </c>
      <c r="E124" t="s">
        <v>487</v>
      </c>
      <c r="F124" t="s">
        <v>488</v>
      </c>
    </row>
    <row r="125" spans="1:6" x14ac:dyDescent="0.3">
      <c r="A125">
        <v>124</v>
      </c>
      <c r="B125" t="s">
        <v>489</v>
      </c>
      <c r="C125" t="s">
        <v>7</v>
      </c>
      <c r="D125" s="1" t="s">
        <v>490</v>
      </c>
      <c r="E125" t="s">
        <v>491</v>
      </c>
      <c r="F125" t="s">
        <v>492</v>
      </c>
    </row>
    <row r="126" spans="1:6" x14ac:dyDescent="0.3">
      <c r="A126">
        <v>125</v>
      </c>
      <c r="B126" t="s">
        <v>493</v>
      </c>
      <c r="C126" t="s">
        <v>7</v>
      </c>
      <c r="D126" s="1" t="s">
        <v>494</v>
      </c>
      <c r="E126" t="s">
        <v>495</v>
      </c>
      <c r="F126" t="s">
        <v>496</v>
      </c>
    </row>
    <row r="127" spans="1:6" x14ac:dyDescent="0.3">
      <c r="A127">
        <v>126</v>
      </c>
      <c r="B127" t="s">
        <v>497</v>
      </c>
      <c r="C127" t="s">
        <v>7</v>
      </c>
      <c r="D127" s="1" t="s">
        <v>498</v>
      </c>
      <c r="E127" t="s">
        <v>499</v>
      </c>
      <c r="F127" t="s">
        <v>500</v>
      </c>
    </row>
    <row r="128" spans="1:6" x14ac:dyDescent="0.3">
      <c r="A128">
        <v>127</v>
      </c>
      <c r="B128" t="s">
        <v>501</v>
      </c>
      <c r="C128" t="s">
        <v>32</v>
      </c>
      <c r="D128" s="1" t="s">
        <v>502</v>
      </c>
      <c r="E128" t="s">
        <v>503</v>
      </c>
      <c r="F128" t="s">
        <v>504</v>
      </c>
    </row>
    <row r="129" spans="1:6" x14ac:dyDescent="0.3">
      <c r="A129">
        <v>128</v>
      </c>
      <c r="B129" t="s">
        <v>505</v>
      </c>
      <c r="C129" t="s">
        <v>45</v>
      </c>
      <c r="D129" s="1" t="s">
        <v>506</v>
      </c>
      <c r="E129" t="s">
        <v>507</v>
      </c>
      <c r="F129" t="s">
        <v>508</v>
      </c>
    </row>
    <row r="130" spans="1:6" x14ac:dyDescent="0.3">
      <c r="A130">
        <v>129</v>
      </c>
      <c r="B130" t="s">
        <v>509</v>
      </c>
      <c r="C130" t="s">
        <v>32</v>
      </c>
      <c r="D130" s="1" t="s">
        <v>510</v>
      </c>
      <c r="E130" t="s">
        <v>511</v>
      </c>
      <c r="F130" t="s">
        <v>512</v>
      </c>
    </row>
    <row r="131" spans="1:6" x14ac:dyDescent="0.3">
      <c r="A131">
        <v>130</v>
      </c>
      <c r="B131" t="s">
        <v>513</v>
      </c>
      <c r="C131" t="s">
        <v>45</v>
      </c>
      <c r="D131" s="1" t="s">
        <v>514</v>
      </c>
      <c r="E131" t="s">
        <v>370</v>
      </c>
      <c r="F131">
        <f>1-167-627-3706</f>
        <v>-4499</v>
      </c>
    </row>
    <row r="132" spans="1:6" x14ac:dyDescent="0.3">
      <c r="A132">
        <v>131</v>
      </c>
      <c r="B132" t="s">
        <v>515</v>
      </c>
      <c r="C132" t="s">
        <v>32</v>
      </c>
      <c r="D132" s="1" t="s">
        <v>516</v>
      </c>
      <c r="E132" t="s">
        <v>517</v>
      </c>
      <c r="F132" t="s">
        <v>518</v>
      </c>
    </row>
    <row r="133" spans="1:6" x14ac:dyDescent="0.3">
      <c r="A133">
        <v>132</v>
      </c>
      <c r="B133" t="s">
        <v>519</v>
      </c>
      <c r="C133" t="s">
        <v>45</v>
      </c>
      <c r="D133" s="1" t="s">
        <v>520</v>
      </c>
      <c r="E133" t="s">
        <v>521</v>
      </c>
      <c r="F133" t="s">
        <v>522</v>
      </c>
    </row>
    <row r="134" spans="1:6" x14ac:dyDescent="0.3">
      <c r="A134">
        <v>133</v>
      </c>
      <c r="B134" t="s">
        <v>523</v>
      </c>
      <c r="C134" t="s">
        <v>45</v>
      </c>
      <c r="D134" s="1" t="s">
        <v>524</v>
      </c>
      <c r="E134" t="s">
        <v>525</v>
      </c>
      <c r="F134" t="s">
        <v>526</v>
      </c>
    </row>
    <row r="135" spans="1:6" x14ac:dyDescent="0.3">
      <c r="A135">
        <v>134</v>
      </c>
      <c r="B135" t="s">
        <v>527</v>
      </c>
      <c r="C135" t="s">
        <v>7</v>
      </c>
      <c r="D135" s="1" t="s">
        <v>528</v>
      </c>
      <c r="E135" t="s">
        <v>529</v>
      </c>
      <c r="F135" t="s">
        <v>530</v>
      </c>
    </row>
    <row r="136" spans="1:6" x14ac:dyDescent="0.3">
      <c r="A136">
        <v>135</v>
      </c>
      <c r="B136" t="s">
        <v>531</v>
      </c>
      <c r="C136" t="s">
        <v>45</v>
      </c>
      <c r="D136" s="1" t="s">
        <v>532</v>
      </c>
      <c r="E136" t="s">
        <v>533</v>
      </c>
      <c r="F136" t="s">
        <v>534</v>
      </c>
    </row>
    <row r="137" spans="1:6" x14ac:dyDescent="0.3">
      <c r="A137">
        <v>136</v>
      </c>
      <c r="B137" t="s">
        <v>535</v>
      </c>
      <c r="C137" t="s">
        <v>11</v>
      </c>
      <c r="D137" s="1" t="s">
        <v>536</v>
      </c>
      <c r="E137" t="s">
        <v>537</v>
      </c>
      <c r="F137" t="s">
        <v>538</v>
      </c>
    </row>
    <row r="138" spans="1:6" x14ac:dyDescent="0.3">
      <c r="A138">
        <v>137</v>
      </c>
      <c r="B138" t="s">
        <v>539</v>
      </c>
      <c r="C138" t="s">
        <v>7</v>
      </c>
      <c r="D138" s="1" t="s">
        <v>540</v>
      </c>
      <c r="E138" t="s">
        <v>541</v>
      </c>
      <c r="F138" t="s">
        <v>542</v>
      </c>
    </row>
    <row r="139" spans="1:6" x14ac:dyDescent="0.3">
      <c r="A139">
        <v>138</v>
      </c>
      <c r="B139" t="s">
        <v>543</v>
      </c>
      <c r="C139" t="s">
        <v>11</v>
      </c>
      <c r="D139" s="1" t="s">
        <v>544</v>
      </c>
      <c r="E139" t="s">
        <v>545</v>
      </c>
      <c r="F139" t="s">
        <v>546</v>
      </c>
    </row>
    <row r="140" spans="1:6" x14ac:dyDescent="0.3">
      <c r="A140">
        <v>139</v>
      </c>
      <c r="B140" t="s">
        <v>547</v>
      </c>
      <c r="C140" t="s">
        <v>7</v>
      </c>
      <c r="D140" s="1" t="s">
        <v>548</v>
      </c>
      <c r="E140" t="s">
        <v>549</v>
      </c>
      <c r="F140" t="s">
        <v>550</v>
      </c>
    </row>
    <row r="141" spans="1:6" x14ac:dyDescent="0.3">
      <c r="A141">
        <v>140</v>
      </c>
      <c r="B141" t="s">
        <v>551</v>
      </c>
      <c r="C141" t="s">
        <v>32</v>
      </c>
      <c r="D141" s="1" t="s">
        <v>552</v>
      </c>
      <c r="E141" t="s">
        <v>553</v>
      </c>
      <c r="F141" t="s">
        <v>554</v>
      </c>
    </row>
    <row r="142" spans="1:6" x14ac:dyDescent="0.3">
      <c r="A142">
        <v>141</v>
      </c>
      <c r="B142" t="s">
        <v>123</v>
      </c>
      <c r="C142" t="s">
        <v>11</v>
      </c>
      <c r="D142" s="1" t="s">
        <v>555</v>
      </c>
      <c r="E142" t="s">
        <v>556</v>
      </c>
      <c r="F142" t="s">
        <v>557</v>
      </c>
    </row>
    <row r="143" spans="1:6" x14ac:dyDescent="0.3">
      <c r="A143">
        <v>142</v>
      </c>
      <c r="B143" t="s">
        <v>558</v>
      </c>
      <c r="C143" t="s">
        <v>45</v>
      </c>
      <c r="D143" s="1" t="s">
        <v>559</v>
      </c>
      <c r="E143" t="s">
        <v>560</v>
      </c>
      <c r="F143" t="s">
        <v>561</v>
      </c>
    </row>
    <row r="144" spans="1:6" x14ac:dyDescent="0.3">
      <c r="A144">
        <v>143</v>
      </c>
      <c r="B144" t="s">
        <v>562</v>
      </c>
      <c r="C144" t="s">
        <v>11</v>
      </c>
      <c r="D144" s="1" t="s">
        <v>563</v>
      </c>
      <c r="E144" t="s">
        <v>564</v>
      </c>
      <c r="F144">
        <v>7363126794</v>
      </c>
    </row>
    <row r="145" spans="1:6" x14ac:dyDescent="0.3">
      <c r="A145">
        <v>144</v>
      </c>
      <c r="B145" t="s">
        <v>565</v>
      </c>
      <c r="C145" t="s">
        <v>45</v>
      </c>
      <c r="D145" s="1" t="s">
        <v>566</v>
      </c>
      <c r="E145" t="s">
        <v>567</v>
      </c>
      <c r="F145" t="s">
        <v>568</v>
      </c>
    </row>
    <row r="146" spans="1:6" x14ac:dyDescent="0.3">
      <c r="A146">
        <v>145</v>
      </c>
      <c r="B146" t="s">
        <v>569</v>
      </c>
      <c r="C146" t="s">
        <v>11</v>
      </c>
      <c r="D146" s="1" t="s">
        <v>570</v>
      </c>
      <c r="E146" t="s">
        <v>571</v>
      </c>
      <c r="F146" t="s">
        <v>572</v>
      </c>
    </row>
    <row r="147" spans="1:6" x14ac:dyDescent="0.3">
      <c r="A147">
        <v>146</v>
      </c>
      <c r="B147" t="s">
        <v>573</v>
      </c>
      <c r="C147" t="s">
        <v>7</v>
      </c>
      <c r="D147" s="1" t="s">
        <v>574</v>
      </c>
      <c r="E147" t="s">
        <v>575</v>
      </c>
      <c r="F147" t="s">
        <v>576</v>
      </c>
    </row>
    <row r="148" spans="1:6" x14ac:dyDescent="0.3">
      <c r="A148">
        <v>147</v>
      </c>
      <c r="B148" t="s">
        <v>577</v>
      </c>
      <c r="C148" t="s">
        <v>45</v>
      </c>
      <c r="D148" s="1" t="s">
        <v>578</v>
      </c>
      <c r="E148" t="s">
        <v>579</v>
      </c>
      <c r="F148" t="s">
        <v>580</v>
      </c>
    </row>
    <row r="149" spans="1:6" x14ac:dyDescent="0.3">
      <c r="A149">
        <v>148</v>
      </c>
      <c r="B149" t="s">
        <v>581</v>
      </c>
      <c r="C149" t="s">
        <v>11</v>
      </c>
      <c r="D149" s="1" t="s">
        <v>582</v>
      </c>
      <c r="E149" t="s">
        <v>583</v>
      </c>
      <c r="F149" t="s">
        <v>584</v>
      </c>
    </row>
    <row r="150" spans="1:6" x14ac:dyDescent="0.3">
      <c r="A150">
        <v>149</v>
      </c>
      <c r="B150" t="s">
        <v>585</v>
      </c>
      <c r="C150" t="s">
        <v>11</v>
      </c>
      <c r="D150" s="1" t="s">
        <v>586</v>
      </c>
      <c r="E150" t="s">
        <v>587</v>
      </c>
      <c r="F150" t="s">
        <v>588</v>
      </c>
    </row>
    <row r="151" spans="1:6" x14ac:dyDescent="0.3">
      <c r="A151">
        <v>150</v>
      </c>
      <c r="B151" t="s">
        <v>589</v>
      </c>
      <c r="C151" t="s">
        <v>11</v>
      </c>
      <c r="D151" s="1" t="s">
        <v>590</v>
      </c>
      <c r="E151" t="s">
        <v>591</v>
      </c>
      <c r="F151" t="s">
        <v>592</v>
      </c>
    </row>
    <row r="152" spans="1:6" x14ac:dyDescent="0.3">
      <c r="A152">
        <v>151</v>
      </c>
      <c r="B152" t="s">
        <v>593</v>
      </c>
      <c r="C152" t="s">
        <v>32</v>
      </c>
      <c r="D152" s="1" t="s">
        <v>594</v>
      </c>
      <c r="E152" t="s">
        <v>595</v>
      </c>
      <c r="F152" t="s">
        <v>596</v>
      </c>
    </row>
    <row r="153" spans="1:6" x14ac:dyDescent="0.3">
      <c r="A153">
        <v>152</v>
      </c>
      <c r="B153" t="s">
        <v>597</v>
      </c>
      <c r="C153" t="s">
        <v>45</v>
      </c>
      <c r="D153" s="1" t="s">
        <v>598</v>
      </c>
      <c r="E153" t="s">
        <v>599</v>
      </c>
      <c r="F153" t="s">
        <v>600</v>
      </c>
    </row>
    <row r="154" spans="1:6" x14ac:dyDescent="0.3">
      <c r="A154">
        <v>153</v>
      </c>
      <c r="B154" t="s">
        <v>601</v>
      </c>
      <c r="C154" t="s">
        <v>32</v>
      </c>
      <c r="D154" s="1" t="s">
        <v>602</v>
      </c>
      <c r="E154" t="s">
        <v>603</v>
      </c>
      <c r="F154" t="s">
        <v>604</v>
      </c>
    </row>
    <row r="155" spans="1:6" x14ac:dyDescent="0.3">
      <c r="A155">
        <v>154</v>
      </c>
      <c r="B155" t="s">
        <v>605</v>
      </c>
      <c r="C155" t="s">
        <v>7</v>
      </c>
      <c r="D155" s="1" t="s">
        <v>606</v>
      </c>
      <c r="E155" t="s">
        <v>607</v>
      </c>
      <c r="F155" t="s">
        <v>608</v>
      </c>
    </row>
    <row r="156" spans="1:6" x14ac:dyDescent="0.3">
      <c r="A156">
        <v>155</v>
      </c>
      <c r="B156" t="s">
        <v>609</v>
      </c>
      <c r="C156" t="s">
        <v>7</v>
      </c>
      <c r="D156" s="1" t="s">
        <v>610</v>
      </c>
      <c r="E156" t="s">
        <v>611</v>
      </c>
      <c r="F156" t="s">
        <v>612</v>
      </c>
    </row>
    <row r="157" spans="1:6" x14ac:dyDescent="0.3">
      <c r="A157">
        <v>156</v>
      </c>
      <c r="B157" t="s">
        <v>613</v>
      </c>
      <c r="C157" t="s">
        <v>45</v>
      </c>
      <c r="D157" s="1" t="s">
        <v>614</v>
      </c>
      <c r="E157" t="s">
        <v>615</v>
      </c>
      <c r="F157" t="s">
        <v>616</v>
      </c>
    </row>
    <row r="158" spans="1:6" x14ac:dyDescent="0.3">
      <c r="A158">
        <v>157</v>
      </c>
      <c r="B158" t="s">
        <v>617</v>
      </c>
      <c r="C158" t="s">
        <v>32</v>
      </c>
      <c r="D158" s="1" t="s">
        <v>618</v>
      </c>
      <c r="E158" t="s">
        <v>619</v>
      </c>
      <c r="F158" t="s">
        <v>620</v>
      </c>
    </row>
    <row r="159" spans="1:6" x14ac:dyDescent="0.3">
      <c r="A159">
        <v>158</v>
      </c>
      <c r="B159" t="s">
        <v>621</v>
      </c>
      <c r="C159" t="s">
        <v>45</v>
      </c>
      <c r="D159" s="1" t="s">
        <v>622</v>
      </c>
      <c r="E159" t="s">
        <v>623</v>
      </c>
      <c r="F159" t="s">
        <v>624</v>
      </c>
    </row>
    <row r="160" spans="1:6" x14ac:dyDescent="0.3">
      <c r="A160">
        <v>159</v>
      </c>
      <c r="B160" t="s">
        <v>625</v>
      </c>
      <c r="C160" t="s">
        <v>11</v>
      </c>
      <c r="D160" s="1" t="s">
        <v>626</v>
      </c>
      <c r="E160" t="s">
        <v>627</v>
      </c>
      <c r="F160" t="s">
        <v>628</v>
      </c>
    </row>
    <row r="161" spans="1:6" x14ac:dyDescent="0.3">
      <c r="A161">
        <v>160</v>
      </c>
      <c r="B161" t="s">
        <v>629</v>
      </c>
      <c r="C161" t="s">
        <v>7</v>
      </c>
      <c r="D161" s="1" t="s">
        <v>630</v>
      </c>
      <c r="E161" t="s">
        <v>631</v>
      </c>
      <c r="F161" t="s">
        <v>632</v>
      </c>
    </row>
    <row r="162" spans="1:6" x14ac:dyDescent="0.3">
      <c r="A162">
        <v>161</v>
      </c>
      <c r="B162" t="s">
        <v>633</v>
      </c>
      <c r="C162" t="s">
        <v>7</v>
      </c>
      <c r="D162" s="1" t="s">
        <v>634</v>
      </c>
      <c r="E162" t="s">
        <v>635</v>
      </c>
      <c r="F162" t="s">
        <v>636</v>
      </c>
    </row>
    <row r="163" spans="1:6" x14ac:dyDescent="0.3">
      <c r="A163">
        <v>162</v>
      </c>
      <c r="B163" t="s">
        <v>637</v>
      </c>
      <c r="C163" t="s">
        <v>32</v>
      </c>
      <c r="D163" s="1" t="s">
        <v>638</v>
      </c>
      <c r="E163" t="s">
        <v>639</v>
      </c>
      <c r="F163" t="s">
        <v>640</v>
      </c>
    </row>
    <row r="164" spans="1:6" x14ac:dyDescent="0.3">
      <c r="A164">
        <v>163</v>
      </c>
      <c r="B164" t="s">
        <v>641</v>
      </c>
      <c r="C164" t="s">
        <v>32</v>
      </c>
      <c r="D164" s="1" t="s">
        <v>642</v>
      </c>
      <c r="E164" t="s">
        <v>643</v>
      </c>
      <c r="F164">
        <v>5846608591</v>
      </c>
    </row>
    <row r="165" spans="1:6" x14ac:dyDescent="0.3">
      <c r="A165">
        <v>164</v>
      </c>
      <c r="B165" t="s">
        <v>644</v>
      </c>
      <c r="C165" t="s">
        <v>11</v>
      </c>
      <c r="D165" s="1" t="s">
        <v>645</v>
      </c>
      <c r="E165" t="s">
        <v>646</v>
      </c>
      <c r="F165" t="s">
        <v>647</v>
      </c>
    </row>
    <row r="166" spans="1:6" x14ac:dyDescent="0.3">
      <c r="A166">
        <v>165</v>
      </c>
      <c r="B166" t="s">
        <v>648</v>
      </c>
      <c r="C166" t="s">
        <v>11</v>
      </c>
      <c r="D166" s="1" t="s">
        <v>649</v>
      </c>
      <c r="E166" t="s">
        <v>650</v>
      </c>
      <c r="F166">
        <v>57248175</v>
      </c>
    </row>
    <row r="167" spans="1:6" x14ac:dyDescent="0.3">
      <c r="A167">
        <v>166</v>
      </c>
      <c r="B167" t="s">
        <v>651</v>
      </c>
      <c r="C167" t="s">
        <v>11</v>
      </c>
      <c r="D167" s="1" t="s">
        <v>652</v>
      </c>
      <c r="E167" t="s">
        <v>653</v>
      </c>
      <c r="F167" t="s">
        <v>654</v>
      </c>
    </row>
    <row r="168" spans="1:6" x14ac:dyDescent="0.3">
      <c r="A168">
        <v>167</v>
      </c>
      <c r="B168" t="s">
        <v>655</v>
      </c>
      <c r="C168" t="s">
        <v>45</v>
      </c>
      <c r="D168" s="1" t="s">
        <v>656</v>
      </c>
      <c r="E168" t="s">
        <v>657</v>
      </c>
      <c r="F168" t="s">
        <v>658</v>
      </c>
    </row>
    <row r="169" spans="1:6" x14ac:dyDescent="0.3">
      <c r="A169">
        <v>168</v>
      </c>
      <c r="B169" t="s">
        <v>659</v>
      </c>
      <c r="C169" t="s">
        <v>45</v>
      </c>
      <c r="D169" s="1" t="s">
        <v>660</v>
      </c>
      <c r="E169" t="s">
        <v>661</v>
      </c>
      <c r="F169" t="s">
        <v>662</v>
      </c>
    </row>
    <row r="170" spans="1:6" x14ac:dyDescent="0.3">
      <c r="A170">
        <v>169</v>
      </c>
      <c r="B170" t="s">
        <v>663</v>
      </c>
      <c r="C170" t="s">
        <v>11</v>
      </c>
      <c r="D170" s="1" t="s">
        <v>664</v>
      </c>
      <c r="E170" t="s">
        <v>665</v>
      </c>
      <c r="F170" t="s">
        <v>666</v>
      </c>
    </row>
    <row r="171" spans="1:6" x14ac:dyDescent="0.3">
      <c r="A171">
        <v>170</v>
      </c>
      <c r="B171" t="s">
        <v>667</v>
      </c>
      <c r="C171" t="s">
        <v>45</v>
      </c>
      <c r="D171" s="1" t="s">
        <v>668</v>
      </c>
      <c r="E171" t="s">
        <v>669</v>
      </c>
      <c r="F171" t="s">
        <v>670</v>
      </c>
    </row>
    <row r="172" spans="1:6" x14ac:dyDescent="0.3">
      <c r="A172">
        <v>171</v>
      </c>
      <c r="B172" t="s">
        <v>671</v>
      </c>
      <c r="C172" t="s">
        <v>45</v>
      </c>
      <c r="D172" s="1" t="s">
        <v>672</v>
      </c>
      <c r="E172" t="s">
        <v>673</v>
      </c>
      <c r="F172" t="s">
        <v>674</v>
      </c>
    </row>
    <row r="173" spans="1:6" x14ac:dyDescent="0.3">
      <c r="A173">
        <v>172</v>
      </c>
      <c r="B173" t="s">
        <v>675</v>
      </c>
      <c r="C173" t="s">
        <v>11</v>
      </c>
      <c r="D173" s="1" t="s">
        <v>676</v>
      </c>
      <c r="E173" t="s">
        <v>677</v>
      </c>
      <c r="F173" t="s">
        <v>678</v>
      </c>
    </row>
    <row r="174" spans="1:6" x14ac:dyDescent="0.3">
      <c r="A174">
        <v>173</v>
      </c>
      <c r="B174" t="s">
        <v>679</v>
      </c>
      <c r="C174" t="s">
        <v>7</v>
      </c>
      <c r="D174" s="1" t="s">
        <v>680</v>
      </c>
      <c r="E174" t="s">
        <v>681</v>
      </c>
      <c r="F174" t="s">
        <v>682</v>
      </c>
    </row>
    <row r="175" spans="1:6" x14ac:dyDescent="0.3">
      <c r="A175">
        <v>174</v>
      </c>
      <c r="B175" t="s">
        <v>683</v>
      </c>
      <c r="C175" t="s">
        <v>11</v>
      </c>
      <c r="D175" s="1" t="s">
        <v>684</v>
      </c>
      <c r="E175" t="s">
        <v>685</v>
      </c>
      <c r="F175" t="s">
        <v>686</v>
      </c>
    </row>
    <row r="176" spans="1:6" x14ac:dyDescent="0.3">
      <c r="A176">
        <v>175</v>
      </c>
      <c r="B176" t="s">
        <v>687</v>
      </c>
      <c r="C176" t="s">
        <v>45</v>
      </c>
      <c r="D176" s="1" t="s">
        <v>688</v>
      </c>
      <c r="E176" t="s">
        <v>689</v>
      </c>
      <c r="F176">
        <f>1-446-162-1060</f>
        <v>-1667</v>
      </c>
    </row>
    <row r="177" spans="1:6" x14ac:dyDescent="0.3">
      <c r="A177">
        <v>176</v>
      </c>
      <c r="B177" t="s">
        <v>690</v>
      </c>
      <c r="C177" t="s">
        <v>32</v>
      </c>
      <c r="D177" s="1" t="s">
        <v>691</v>
      </c>
      <c r="E177" t="s">
        <v>692</v>
      </c>
      <c r="F177">
        <v>8921994982</v>
      </c>
    </row>
    <row r="178" spans="1:6" x14ac:dyDescent="0.3">
      <c r="A178">
        <v>177</v>
      </c>
      <c r="B178" t="s">
        <v>693</v>
      </c>
      <c r="C178" t="s">
        <v>7</v>
      </c>
      <c r="D178" s="1" t="s">
        <v>694</v>
      </c>
      <c r="E178" t="s">
        <v>695</v>
      </c>
      <c r="F178" t="s">
        <v>696</v>
      </c>
    </row>
    <row r="179" spans="1:6" x14ac:dyDescent="0.3">
      <c r="A179">
        <v>178</v>
      </c>
      <c r="B179" t="s">
        <v>697</v>
      </c>
      <c r="C179" t="s">
        <v>45</v>
      </c>
      <c r="D179" s="1" t="s">
        <v>698</v>
      </c>
      <c r="E179" t="s">
        <v>699</v>
      </c>
      <c r="F179" t="s">
        <v>700</v>
      </c>
    </row>
    <row r="180" spans="1:6" x14ac:dyDescent="0.3">
      <c r="A180">
        <v>179</v>
      </c>
      <c r="B180" t="s">
        <v>701</v>
      </c>
      <c r="C180" t="s">
        <v>7</v>
      </c>
      <c r="D180" s="1" t="s">
        <v>702</v>
      </c>
      <c r="E180" t="s">
        <v>322</v>
      </c>
      <c r="F180">
        <v>3334774489</v>
      </c>
    </row>
    <row r="181" spans="1:6" x14ac:dyDescent="0.3">
      <c r="A181">
        <v>180</v>
      </c>
      <c r="B181" t="s">
        <v>703</v>
      </c>
      <c r="C181" t="s">
        <v>11</v>
      </c>
      <c r="D181" s="1" t="s">
        <v>704</v>
      </c>
      <c r="E181" t="s">
        <v>705</v>
      </c>
      <c r="F181">
        <f>1-342-496-7540</f>
        <v>-8377</v>
      </c>
    </row>
    <row r="182" spans="1:6" x14ac:dyDescent="0.3">
      <c r="A182">
        <v>181</v>
      </c>
      <c r="B182" t="s">
        <v>706</v>
      </c>
      <c r="C182" t="s">
        <v>32</v>
      </c>
      <c r="D182" s="1" t="s">
        <v>707</v>
      </c>
      <c r="E182" t="s">
        <v>708</v>
      </c>
      <c r="F182" t="s">
        <v>709</v>
      </c>
    </row>
    <row r="183" spans="1:6" x14ac:dyDescent="0.3">
      <c r="A183">
        <v>182</v>
      </c>
      <c r="B183" t="s">
        <v>710</v>
      </c>
      <c r="C183" t="s">
        <v>11</v>
      </c>
      <c r="D183" s="1" t="s">
        <v>711</v>
      </c>
      <c r="E183" t="s">
        <v>712</v>
      </c>
      <c r="F183" t="s">
        <v>713</v>
      </c>
    </row>
    <row r="184" spans="1:6" x14ac:dyDescent="0.3">
      <c r="A184">
        <v>183</v>
      </c>
      <c r="B184" t="s">
        <v>714</v>
      </c>
      <c r="C184" t="s">
        <v>11</v>
      </c>
      <c r="D184" s="1" t="s">
        <v>715</v>
      </c>
      <c r="E184" t="s">
        <v>716</v>
      </c>
      <c r="F184" t="s">
        <v>717</v>
      </c>
    </row>
    <row r="185" spans="1:6" x14ac:dyDescent="0.3">
      <c r="A185">
        <v>184</v>
      </c>
      <c r="B185" t="s">
        <v>718</v>
      </c>
      <c r="C185" t="s">
        <v>11</v>
      </c>
      <c r="D185" s="1" t="s">
        <v>719</v>
      </c>
      <c r="E185" t="s">
        <v>720</v>
      </c>
      <c r="F185" t="s">
        <v>721</v>
      </c>
    </row>
    <row r="186" spans="1:6" x14ac:dyDescent="0.3">
      <c r="A186">
        <v>185</v>
      </c>
      <c r="B186" t="s">
        <v>722</v>
      </c>
      <c r="C186" t="s">
        <v>32</v>
      </c>
      <c r="D186" s="1" t="s">
        <v>723</v>
      </c>
      <c r="E186" t="s">
        <v>724</v>
      </c>
      <c r="F186" t="s">
        <v>725</v>
      </c>
    </row>
    <row r="187" spans="1:6" x14ac:dyDescent="0.3">
      <c r="A187">
        <v>186</v>
      </c>
      <c r="B187" t="s">
        <v>726</v>
      </c>
      <c r="C187" t="s">
        <v>11</v>
      </c>
      <c r="D187" s="1" t="s">
        <v>727</v>
      </c>
      <c r="E187" t="s">
        <v>728</v>
      </c>
      <c r="F187" t="s">
        <v>729</v>
      </c>
    </row>
    <row r="188" spans="1:6" x14ac:dyDescent="0.3">
      <c r="A188">
        <v>187</v>
      </c>
      <c r="B188" t="s">
        <v>730</v>
      </c>
      <c r="C188" t="s">
        <v>45</v>
      </c>
      <c r="D188" s="1" t="s">
        <v>731</v>
      </c>
      <c r="E188" t="s">
        <v>732</v>
      </c>
      <c r="F188" t="s">
        <v>733</v>
      </c>
    </row>
    <row r="189" spans="1:6" x14ac:dyDescent="0.3">
      <c r="A189">
        <v>188</v>
      </c>
      <c r="B189" t="s">
        <v>734</v>
      </c>
      <c r="C189" t="s">
        <v>45</v>
      </c>
      <c r="D189" s="1" t="s">
        <v>735</v>
      </c>
      <c r="E189" t="s">
        <v>736</v>
      </c>
      <c r="F189">
        <v>9776174564</v>
      </c>
    </row>
    <row r="190" spans="1:6" x14ac:dyDescent="0.3">
      <c r="A190">
        <v>189</v>
      </c>
      <c r="B190" t="s">
        <v>737</v>
      </c>
      <c r="C190" t="s">
        <v>7</v>
      </c>
      <c r="D190" s="1" t="s">
        <v>738</v>
      </c>
      <c r="E190" t="s">
        <v>739</v>
      </c>
      <c r="F190" t="s">
        <v>740</v>
      </c>
    </row>
    <row r="191" spans="1:6" x14ac:dyDescent="0.3">
      <c r="A191">
        <v>190</v>
      </c>
      <c r="B191" t="s">
        <v>741</v>
      </c>
      <c r="C191" t="s">
        <v>11</v>
      </c>
      <c r="D191" s="1" t="s">
        <v>742</v>
      </c>
      <c r="E191" t="s">
        <v>743</v>
      </c>
      <c r="F191" t="s">
        <v>744</v>
      </c>
    </row>
    <row r="192" spans="1:6" x14ac:dyDescent="0.3">
      <c r="A192">
        <v>191</v>
      </c>
      <c r="B192" t="s">
        <v>745</v>
      </c>
      <c r="C192" t="s">
        <v>11</v>
      </c>
      <c r="D192" s="1" t="s">
        <v>746</v>
      </c>
      <c r="E192" t="s">
        <v>747</v>
      </c>
      <c r="F192" t="s">
        <v>748</v>
      </c>
    </row>
    <row r="193" spans="1:6" x14ac:dyDescent="0.3">
      <c r="A193">
        <v>192</v>
      </c>
      <c r="B193" t="s">
        <v>749</v>
      </c>
      <c r="C193" t="s">
        <v>45</v>
      </c>
      <c r="D193" s="1" t="s">
        <v>750</v>
      </c>
      <c r="E193" t="s">
        <v>751</v>
      </c>
      <c r="F193" t="s">
        <v>752</v>
      </c>
    </row>
    <row r="194" spans="1:6" x14ac:dyDescent="0.3">
      <c r="A194">
        <v>193</v>
      </c>
      <c r="B194" t="s">
        <v>753</v>
      </c>
      <c r="C194" t="s">
        <v>32</v>
      </c>
      <c r="D194" s="1" t="s">
        <v>754</v>
      </c>
      <c r="E194" t="s">
        <v>755</v>
      </c>
      <c r="F194" t="s">
        <v>756</v>
      </c>
    </row>
    <row r="195" spans="1:6" x14ac:dyDescent="0.3">
      <c r="A195">
        <v>194</v>
      </c>
      <c r="B195" t="s">
        <v>757</v>
      </c>
      <c r="C195" t="s">
        <v>32</v>
      </c>
      <c r="D195" s="1" t="s">
        <v>758</v>
      </c>
      <c r="E195" t="s">
        <v>759</v>
      </c>
      <c r="F195" t="s">
        <v>760</v>
      </c>
    </row>
    <row r="196" spans="1:6" x14ac:dyDescent="0.3">
      <c r="A196">
        <v>195</v>
      </c>
      <c r="B196" t="s">
        <v>761</v>
      </c>
      <c r="C196" t="s">
        <v>7</v>
      </c>
      <c r="D196" s="1" t="s">
        <v>762</v>
      </c>
      <c r="E196" t="s">
        <v>763</v>
      </c>
      <c r="F196" t="s">
        <v>764</v>
      </c>
    </row>
    <row r="197" spans="1:6" x14ac:dyDescent="0.3">
      <c r="A197">
        <v>196</v>
      </c>
      <c r="B197" t="s">
        <v>765</v>
      </c>
      <c r="C197" t="s">
        <v>32</v>
      </c>
      <c r="D197" s="1" t="s">
        <v>766</v>
      </c>
      <c r="E197" t="s">
        <v>767</v>
      </c>
      <c r="F197" t="s">
        <v>768</v>
      </c>
    </row>
    <row r="198" spans="1:6" x14ac:dyDescent="0.3">
      <c r="A198">
        <v>197</v>
      </c>
      <c r="B198" t="s">
        <v>769</v>
      </c>
      <c r="C198" t="s">
        <v>32</v>
      </c>
      <c r="D198" s="1" t="s">
        <v>770</v>
      </c>
      <c r="E198" t="s">
        <v>771</v>
      </c>
      <c r="F198" t="s">
        <v>772</v>
      </c>
    </row>
    <row r="199" spans="1:6" x14ac:dyDescent="0.3">
      <c r="A199">
        <v>198</v>
      </c>
      <c r="B199" t="s">
        <v>773</v>
      </c>
      <c r="C199" t="s">
        <v>32</v>
      </c>
      <c r="D199" s="1" t="s">
        <v>774</v>
      </c>
      <c r="E199" t="s">
        <v>775</v>
      </c>
      <c r="F199" t="s">
        <v>776</v>
      </c>
    </row>
    <row r="200" spans="1:6" x14ac:dyDescent="0.3">
      <c r="A200">
        <v>199</v>
      </c>
      <c r="B200" t="s">
        <v>777</v>
      </c>
      <c r="C200" t="s">
        <v>45</v>
      </c>
      <c r="D200" s="1" t="s">
        <v>778</v>
      </c>
      <c r="E200" t="s">
        <v>779</v>
      </c>
      <c r="F200" t="s">
        <v>780</v>
      </c>
    </row>
    <row r="201" spans="1:6" x14ac:dyDescent="0.3">
      <c r="A201">
        <v>200</v>
      </c>
      <c r="B201" t="s">
        <v>781</v>
      </c>
      <c r="C201" t="s">
        <v>7</v>
      </c>
      <c r="D201" s="1" t="s">
        <v>782</v>
      </c>
      <c r="E201" t="s">
        <v>783</v>
      </c>
      <c r="F201" t="s">
        <v>784</v>
      </c>
    </row>
    <row r="202" spans="1:6" x14ac:dyDescent="0.3">
      <c r="A202">
        <v>201</v>
      </c>
      <c r="B202" t="s">
        <v>785</v>
      </c>
      <c r="C202" t="s">
        <v>45</v>
      </c>
      <c r="D202" s="1" t="s">
        <v>786</v>
      </c>
      <c r="E202" t="s">
        <v>787</v>
      </c>
      <c r="F202" t="s">
        <v>788</v>
      </c>
    </row>
    <row r="203" spans="1:6" x14ac:dyDescent="0.3">
      <c r="A203">
        <v>202</v>
      </c>
      <c r="B203" t="s">
        <v>789</v>
      </c>
      <c r="C203" t="s">
        <v>7</v>
      </c>
      <c r="D203" s="1" t="s">
        <v>790</v>
      </c>
      <c r="E203" t="s">
        <v>791</v>
      </c>
      <c r="F203" t="s">
        <v>792</v>
      </c>
    </row>
    <row r="204" spans="1:6" x14ac:dyDescent="0.3">
      <c r="A204">
        <v>203</v>
      </c>
      <c r="B204" t="s">
        <v>793</v>
      </c>
      <c r="C204" t="s">
        <v>11</v>
      </c>
      <c r="D204" s="1" t="s">
        <v>794</v>
      </c>
      <c r="E204" t="s">
        <v>795</v>
      </c>
      <c r="F204" t="s">
        <v>796</v>
      </c>
    </row>
    <row r="205" spans="1:6" x14ac:dyDescent="0.3">
      <c r="A205">
        <v>204</v>
      </c>
      <c r="B205" t="s">
        <v>797</v>
      </c>
      <c r="C205" t="s">
        <v>7</v>
      </c>
      <c r="D205" s="1" t="s">
        <v>798</v>
      </c>
      <c r="E205" t="s">
        <v>799</v>
      </c>
      <c r="F205" t="s">
        <v>800</v>
      </c>
    </row>
    <row r="206" spans="1:6" x14ac:dyDescent="0.3">
      <c r="A206">
        <v>205</v>
      </c>
      <c r="B206" t="s">
        <v>801</v>
      </c>
      <c r="C206" t="s">
        <v>11</v>
      </c>
      <c r="D206" s="1" t="s">
        <v>802</v>
      </c>
      <c r="E206" t="s">
        <v>803</v>
      </c>
      <c r="F206" t="s">
        <v>804</v>
      </c>
    </row>
    <row r="207" spans="1:6" x14ac:dyDescent="0.3">
      <c r="A207">
        <v>206</v>
      </c>
      <c r="B207" t="s">
        <v>805</v>
      </c>
      <c r="C207" t="s">
        <v>45</v>
      </c>
      <c r="D207" s="1" t="s">
        <v>806</v>
      </c>
      <c r="E207" t="s">
        <v>807</v>
      </c>
      <c r="F207" t="s">
        <v>808</v>
      </c>
    </row>
    <row r="208" spans="1:6" x14ac:dyDescent="0.3">
      <c r="A208">
        <v>207</v>
      </c>
      <c r="B208" t="s">
        <v>809</v>
      </c>
      <c r="C208" t="s">
        <v>11</v>
      </c>
      <c r="D208" s="1" t="s">
        <v>810</v>
      </c>
      <c r="E208" t="s">
        <v>811</v>
      </c>
      <c r="F208" t="s">
        <v>812</v>
      </c>
    </row>
    <row r="209" spans="1:6" x14ac:dyDescent="0.3">
      <c r="A209">
        <v>208</v>
      </c>
      <c r="B209" t="s">
        <v>813</v>
      </c>
      <c r="C209" t="s">
        <v>32</v>
      </c>
      <c r="D209" s="1" t="s">
        <v>814</v>
      </c>
      <c r="E209" t="s">
        <v>815</v>
      </c>
      <c r="F209" t="s">
        <v>816</v>
      </c>
    </row>
    <row r="210" spans="1:6" x14ac:dyDescent="0.3">
      <c r="A210">
        <v>209</v>
      </c>
      <c r="B210" t="s">
        <v>817</v>
      </c>
      <c r="C210" t="s">
        <v>45</v>
      </c>
      <c r="D210" s="1" t="s">
        <v>818</v>
      </c>
      <c r="E210" t="s">
        <v>819</v>
      </c>
      <c r="F210" t="s">
        <v>820</v>
      </c>
    </row>
    <row r="211" spans="1:6" x14ac:dyDescent="0.3">
      <c r="A211">
        <v>210</v>
      </c>
      <c r="B211" t="s">
        <v>821</v>
      </c>
      <c r="C211" t="s">
        <v>11</v>
      </c>
      <c r="D211" s="1" t="s">
        <v>822</v>
      </c>
      <c r="E211" t="s">
        <v>823</v>
      </c>
      <c r="F211" t="s">
        <v>824</v>
      </c>
    </row>
    <row r="212" spans="1:6" x14ac:dyDescent="0.3">
      <c r="A212">
        <v>211</v>
      </c>
      <c r="B212" t="s">
        <v>825</v>
      </c>
      <c r="C212" t="s">
        <v>32</v>
      </c>
      <c r="D212" s="1" t="s">
        <v>826</v>
      </c>
      <c r="E212" t="s">
        <v>827</v>
      </c>
      <c r="F212">
        <f>1-886-931-4697</f>
        <v>-6513</v>
      </c>
    </row>
    <row r="213" spans="1:6" x14ac:dyDescent="0.3">
      <c r="A213">
        <v>212</v>
      </c>
      <c r="B213" t="s">
        <v>828</v>
      </c>
      <c r="C213" t="s">
        <v>7</v>
      </c>
      <c r="D213" s="1" t="s">
        <v>829</v>
      </c>
      <c r="E213" t="s">
        <v>830</v>
      </c>
      <c r="F213" t="s">
        <v>831</v>
      </c>
    </row>
    <row r="214" spans="1:6" x14ac:dyDescent="0.3">
      <c r="A214">
        <v>213</v>
      </c>
      <c r="B214" t="s">
        <v>832</v>
      </c>
      <c r="C214" t="s">
        <v>11</v>
      </c>
      <c r="D214" s="1" t="s">
        <v>833</v>
      </c>
      <c r="E214" t="s">
        <v>834</v>
      </c>
      <c r="F214">
        <v>7809531647</v>
      </c>
    </row>
    <row r="215" spans="1:6" x14ac:dyDescent="0.3">
      <c r="A215">
        <v>214</v>
      </c>
      <c r="B215" t="s">
        <v>835</v>
      </c>
      <c r="C215" t="s">
        <v>45</v>
      </c>
      <c r="D215" s="1" t="s">
        <v>836</v>
      </c>
      <c r="E215" t="s">
        <v>837</v>
      </c>
      <c r="F215" t="s">
        <v>838</v>
      </c>
    </row>
    <row r="216" spans="1:6" x14ac:dyDescent="0.3">
      <c r="A216">
        <v>215</v>
      </c>
      <c r="B216" t="s">
        <v>839</v>
      </c>
      <c r="C216" t="s">
        <v>11</v>
      </c>
      <c r="D216" s="1" t="s">
        <v>840</v>
      </c>
      <c r="E216" t="s">
        <v>841</v>
      </c>
      <c r="F216" t="s">
        <v>842</v>
      </c>
    </row>
    <row r="217" spans="1:6" x14ac:dyDescent="0.3">
      <c r="A217">
        <v>216</v>
      </c>
      <c r="B217" t="s">
        <v>843</v>
      </c>
      <c r="C217" t="s">
        <v>7</v>
      </c>
      <c r="D217" s="1" t="s">
        <v>844</v>
      </c>
      <c r="E217" t="s">
        <v>845</v>
      </c>
      <c r="F217" t="s">
        <v>846</v>
      </c>
    </row>
    <row r="218" spans="1:6" x14ac:dyDescent="0.3">
      <c r="A218">
        <v>217</v>
      </c>
      <c r="B218" t="s">
        <v>847</v>
      </c>
      <c r="C218" t="s">
        <v>7</v>
      </c>
      <c r="D218" s="1" t="s">
        <v>848</v>
      </c>
      <c r="E218" t="s">
        <v>849</v>
      </c>
      <c r="F218">
        <v>4174921015</v>
      </c>
    </row>
    <row r="219" spans="1:6" x14ac:dyDescent="0.3">
      <c r="A219">
        <v>218</v>
      </c>
      <c r="B219" t="s">
        <v>850</v>
      </c>
      <c r="C219" t="s">
        <v>45</v>
      </c>
      <c r="D219" s="1" t="s">
        <v>851</v>
      </c>
      <c r="E219" t="s">
        <v>852</v>
      </c>
      <c r="F219" t="s">
        <v>853</v>
      </c>
    </row>
    <row r="220" spans="1:6" x14ac:dyDescent="0.3">
      <c r="A220">
        <v>219</v>
      </c>
      <c r="B220" t="s">
        <v>854</v>
      </c>
      <c r="C220" t="s">
        <v>7</v>
      </c>
      <c r="D220" s="1" t="s">
        <v>855</v>
      </c>
      <c r="E220" t="s">
        <v>856</v>
      </c>
      <c r="F220" t="s">
        <v>857</v>
      </c>
    </row>
    <row r="221" spans="1:6" x14ac:dyDescent="0.3">
      <c r="A221">
        <v>220</v>
      </c>
      <c r="B221" t="s">
        <v>858</v>
      </c>
      <c r="C221" t="s">
        <v>7</v>
      </c>
      <c r="D221" s="1" t="s">
        <v>859</v>
      </c>
      <c r="E221" t="s">
        <v>860</v>
      </c>
      <c r="F221" t="s">
        <v>861</v>
      </c>
    </row>
    <row r="222" spans="1:6" x14ac:dyDescent="0.3">
      <c r="A222">
        <v>221</v>
      </c>
      <c r="B222" t="s">
        <v>862</v>
      </c>
      <c r="C222" t="s">
        <v>7</v>
      </c>
      <c r="D222" s="1" t="s">
        <v>863</v>
      </c>
      <c r="E222" t="s">
        <v>864</v>
      </c>
      <c r="F222" t="s">
        <v>865</v>
      </c>
    </row>
    <row r="223" spans="1:6" x14ac:dyDescent="0.3">
      <c r="A223">
        <v>222</v>
      </c>
      <c r="B223" t="s">
        <v>866</v>
      </c>
      <c r="C223" t="s">
        <v>45</v>
      </c>
      <c r="D223" s="1" t="s">
        <v>867</v>
      </c>
      <c r="E223" t="s">
        <v>868</v>
      </c>
      <c r="F223" t="s">
        <v>869</v>
      </c>
    </row>
    <row r="224" spans="1:6" x14ac:dyDescent="0.3">
      <c r="A224">
        <v>223</v>
      </c>
      <c r="B224" t="s">
        <v>870</v>
      </c>
      <c r="C224" t="s">
        <v>32</v>
      </c>
      <c r="D224" s="1" t="s">
        <v>871</v>
      </c>
      <c r="E224" t="s">
        <v>872</v>
      </c>
      <c r="F224" t="s">
        <v>873</v>
      </c>
    </row>
    <row r="225" spans="1:6" x14ac:dyDescent="0.3">
      <c r="A225">
        <v>224</v>
      </c>
      <c r="B225" t="s">
        <v>874</v>
      </c>
      <c r="C225" t="s">
        <v>32</v>
      </c>
      <c r="D225" s="1" t="s">
        <v>875</v>
      </c>
      <c r="E225" t="s">
        <v>876</v>
      </c>
      <c r="F225" t="s">
        <v>877</v>
      </c>
    </row>
    <row r="226" spans="1:6" x14ac:dyDescent="0.3">
      <c r="A226">
        <v>225</v>
      </c>
      <c r="B226" t="s">
        <v>878</v>
      </c>
      <c r="C226" t="s">
        <v>11</v>
      </c>
      <c r="D226" s="1" t="s">
        <v>879</v>
      </c>
      <c r="E226" t="s">
        <v>880</v>
      </c>
      <c r="F226" t="s">
        <v>881</v>
      </c>
    </row>
    <row r="227" spans="1:6" x14ac:dyDescent="0.3">
      <c r="A227">
        <v>226</v>
      </c>
      <c r="B227" t="s">
        <v>882</v>
      </c>
      <c r="C227" t="s">
        <v>11</v>
      </c>
      <c r="D227" s="1" t="s">
        <v>883</v>
      </c>
      <c r="E227" t="s">
        <v>884</v>
      </c>
      <c r="F227" t="s">
        <v>885</v>
      </c>
    </row>
    <row r="228" spans="1:6" x14ac:dyDescent="0.3">
      <c r="A228">
        <v>227</v>
      </c>
      <c r="B228" t="s">
        <v>886</v>
      </c>
      <c r="C228" t="s">
        <v>11</v>
      </c>
      <c r="D228" s="1" t="s">
        <v>887</v>
      </c>
      <c r="E228" t="s">
        <v>888</v>
      </c>
      <c r="F228" t="s">
        <v>889</v>
      </c>
    </row>
    <row r="229" spans="1:6" x14ac:dyDescent="0.3">
      <c r="A229">
        <v>228</v>
      </c>
      <c r="B229" t="s">
        <v>890</v>
      </c>
      <c r="C229" t="s">
        <v>7</v>
      </c>
      <c r="D229" s="1" t="s">
        <v>891</v>
      </c>
      <c r="E229" t="s">
        <v>892</v>
      </c>
      <c r="F229" t="s">
        <v>893</v>
      </c>
    </row>
    <row r="230" spans="1:6" x14ac:dyDescent="0.3">
      <c r="A230">
        <v>229</v>
      </c>
      <c r="B230" t="s">
        <v>894</v>
      </c>
      <c r="C230" t="s">
        <v>32</v>
      </c>
      <c r="D230" s="1" t="s">
        <v>895</v>
      </c>
      <c r="E230" t="s">
        <v>896</v>
      </c>
      <c r="F230" t="s">
        <v>897</v>
      </c>
    </row>
    <row r="231" spans="1:6" x14ac:dyDescent="0.3">
      <c r="A231">
        <v>230</v>
      </c>
      <c r="B231" t="s">
        <v>898</v>
      </c>
      <c r="C231" t="s">
        <v>11</v>
      </c>
      <c r="D231" s="1" t="s">
        <v>899</v>
      </c>
      <c r="E231" t="s">
        <v>900</v>
      </c>
      <c r="F231">
        <v>5648556923</v>
      </c>
    </row>
    <row r="232" spans="1:6" x14ac:dyDescent="0.3">
      <c r="A232">
        <v>231</v>
      </c>
      <c r="B232" t="s">
        <v>901</v>
      </c>
      <c r="C232" t="s">
        <v>7</v>
      </c>
      <c r="D232" s="1" t="s">
        <v>902</v>
      </c>
      <c r="E232" t="s">
        <v>903</v>
      </c>
      <c r="F232" t="s">
        <v>904</v>
      </c>
    </row>
    <row r="233" spans="1:6" x14ac:dyDescent="0.3">
      <c r="A233">
        <v>232</v>
      </c>
      <c r="B233" t="s">
        <v>905</v>
      </c>
      <c r="C233" t="s">
        <v>7</v>
      </c>
      <c r="D233" s="1" t="s">
        <v>906</v>
      </c>
      <c r="E233" t="s">
        <v>907</v>
      </c>
      <c r="F233" t="s">
        <v>908</v>
      </c>
    </row>
    <row r="234" spans="1:6" x14ac:dyDescent="0.3">
      <c r="A234">
        <v>233</v>
      </c>
      <c r="B234" t="s">
        <v>909</v>
      </c>
      <c r="C234" t="s">
        <v>32</v>
      </c>
      <c r="D234" s="1" t="s">
        <v>910</v>
      </c>
      <c r="E234" t="s">
        <v>911</v>
      </c>
      <c r="F234" t="s">
        <v>912</v>
      </c>
    </row>
    <row r="235" spans="1:6" x14ac:dyDescent="0.3">
      <c r="A235">
        <v>234</v>
      </c>
      <c r="B235" t="s">
        <v>913</v>
      </c>
      <c r="C235" t="s">
        <v>45</v>
      </c>
      <c r="D235" s="1" t="s">
        <v>914</v>
      </c>
      <c r="E235" t="s">
        <v>915</v>
      </c>
      <c r="F235" t="s">
        <v>916</v>
      </c>
    </row>
    <row r="236" spans="1:6" x14ac:dyDescent="0.3">
      <c r="A236">
        <v>235</v>
      </c>
      <c r="B236" t="s">
        <v>917</v>
      </c>
      <c r="C236" t="s">
        <v>45</v>
      </c>
      <c r="D236" s="1" t="s">
        <v>918</v>
      </c>
      <c r="E236" t="s">
        <v>919</v>
      </c>
      <c r="F236" t="s">
        <v>920</v>
      </c>
    </row>
    <row r="237" spans="1:6" x14ac:dyDescent="0.3">
      <c r="A237">
        <v>236</v>
      </c>
      <c r="B237" t="s">
        <v>921</v>
      </c>
      <c r="C237" t="s">
        <v>11</v>
      </c>
      <c r="D237" s="1" t="s">
        <v>922</v>
      </c>
      <c r="E237" t="s">
        <v>923</v>
      </c>
      <c r="F237" t="s">
        <v>924</v>
      </c>
    </row>
    <row r="238" spans="1:6" x14ac:dyDescent="0.3">
      <c r="A238">
        <v>237</v>
      </c>
      <c r="B238" t="s">
        <v>925</v>
      </c>
      <c r="C238" t="s">
        <v>7</v>
      </c>
      <c r="D238" s="1" t="s">
        <v>926</v>
      </c>
      <c r="E238" t="s">
        <v>927</v>
      </c>
      <c r="F238" t="s">
        <v>928</v>
      </c>
    </row>
    <row r="239" spans="1:6" x14ac:dyDescent="0.3">
      <c r="A239">
        <v>238</v>
      </c>
      <c r="B239" t="s">
        <v>929</v>
      </c>
      <c r="C239" t="s">
        <v>11</v>
      </c>
      <c r="D239" s="1" t="s">
        <v>930</v>
      </c>
      <c r="E239" t="s">
        <v>931</v>
      </c>
      <c r="F239" t="s">
        <v>932</v>
      </c>
    </row>
    <row r="240" spans="1:6" x14ac:dyDescent="0.3">
      <c r="A240">
        <v>239</v>
      </c>
      <c r="B240" t="s">
        <v>933</v>
      </c>
      <c r="C240" t="s">
        <v>11</v>
      </c>
      <c r="D240" s="1" t="s">
        <v>934</v>
      </c>
      <c r="E240" t="s">
        <v>935</v>
      </c>
      <c r="F240" t="s">
        <v>936</v>
      </c>
    </row>
    <row r="241" spans="1:6" x14ac:dyDescent="0.3">
      <c r="A241">
        <v>240</v>
      </c>
      <c r="B241" t="s">
        <v>937</v>
      </c>
      <c r="C241" t="s">
        <v>45</v>
      </c>
      <c r="D241" s="1" t="s">
        <v>938</v>
      </c>
      <c r="E241" t="s">
        <v>939</v>
      </c>
      <c r="F241" t="s">
        <v>940</v>
      </c>
    </row>
    <row r="242" spans="1:6" x14ac:dyDescent="0.3">
      <c r="A242">
        <v>241</v>
      </c>
      <c r="B242" t="s">
        <v>941</v>
      </c>
      <c r="C242" t="s">
        <v>45</v>
      </c>
      <c r="D242" s="1" t="s">
        <v>942</v>
      </c>
      <c r="E242" t="s">
        <v>943</v>
      </c>
      <c r="F242" t="s">
        <v>944</v>
      </c>
    </row>
    <row r="243" spans="1:6" x14ac:dyDescent="0.3">
      <c r="A243">
        <v>242</v>
      </c>
      <c r="B243" t="s">
        <v>945</v>
      </c>
      <c r="C243" t="s">
        <v>32</v>
      </c>
      <c r="D243" s="1" t="s">
        <v>946</v>
      </c>
      <c r="E243" t="s">
        <v>947</v>
      </c>
      <c r="F243">
        <f>1-57-752-7548</f>
        <v>-8356</v>
      </c>
    </row>
    <row r="244" spans="1:6" x14ac:dyDescent="0.3">
      <c r="A244">
        <v>243</v>
      </c>
      <c r="B244" t="s">
        <v>948</v>
      </c>
      <c r="C244" t="s">
        <v>45</v>
      </c>
      <c r="D244" s="1" t="s">
        <v>949</v>
      </c>
      <c r="E244" t="s">
        <v>950</v>
      </c>
      <c r="F244" t="s">
        <v>951</v>
      </c>
    </row>
    <row r="245" spans="1:6" x14ac:dyDescent="0.3">
      <c r="A245">
        <v>244</v>
      </c>
      <c r="B245" t="s">
        <v>952</v>
      </c>
      <c r="C245" t="s">
        <v>7</v>
      </c>
      <c r="D245" s="1" t="s">
        <v>953</v>
      </c>
      <c r="E245" t="s">
        <v>954</v>
      </c>
      <c r="F245" t="s">
        <v>955</v>
      </c>
    </row>
    <row r="246" spans="1:6" x14ac:dyDescent="0.3">
      <c r="A246">
        <v>245</v>
      </c>
      <c r="B246" t="s">
        <v>956</v>
      </c>
      <c r="C246" t="s">
        <v>32</v>
      </c>
      <c r="D246" s="1" t="s">
        <v>957</v>
      </c>
      <c r="E246" t="s">
        <v>958</v>
      </c>
      <c r="F246" t="s">
        <v>959</v>
      </c>
    </row>
    <row r="247" spans="1:6" x14ac:dyDescent="0.3">
      <c r="A247">
        <v>246</v>
      </c>
      <c r="B247" t="s">
        <v>960</v>
      </c>
      <c r="C247" t="s">
        <v>11</v>
      </c>
      <c r="D247" s="1" t="s">
        <v>961</v>
      </c>
      <c r="E247" t="s">
        <v>962</v>
      </c>
      <c r="F247" t="s">
        <v>963</v>
      </c>
    </row>
    <row r="248" spans="1:6" x14ac:dyDescent="0.3">
      <c r="A248">
        <v>247</v>
      </c>
      <c r="B248" t="s">
        <v>964</v>
      </c>
      <c r="C248" t="s">
        <v>45</v>
      </c>
      <c r="D248" s="1" t="s">
        <v>965</v>
      </c>
      <c r="E248" t="s">
        <v>966</v>
      </c>
      <c r="F248" t="s">
        <v>967</v>
      </c>
    </row>
    <row r="249" spans="1:6" x14ac:dyDescent="0.3">
      <c r="A249">
        <v>248</v>
      </c>
      <c r="B249" t="s">
        <v>968</v>
      </c>
      <c r="C249" t="s">
        <v>32</v>
      </c>
      <c r="D249" s="1" t="s">
        <v>969</v>
      </c>
      <c r="E249" t="s">
        <v>970</v>
      </c>
      <c r="F249" t="s">
        <v>971</v>
      </c>
    </row>
    <row r="250" spans="1:6" x14ac:dyDescent="0.3">
      <c r="A250">
        <v>249</v>
      </c>
      <c r="B250" t="s">
        <v>972</v>
      </c>
      <c r="C250" t="s">
        <v>45</v>
      </c>
      <c r="D250" s="1" t="s">
        <v>973</v>
      </c>
      <c r="E250" t="s">
        <v>974</v>
      </c>
      <c r="F250" t="s">
        <v>975</v>
      </c>
    </row>
    <row r="251" spans="1:6" x14ac:dyDescent="0.3">
      <c r="A251">
        <v>250</v>
      </c>
      <c r="B251" t="s">
        <v>976</v>
      </c>
      <c r="C251" t="s">
        <v>11</v>
      </c>
      <c r="D251" s="1" t="s">
        <v>977</v>
      </c>
      <c r="E251" t="s">
        <v>978</v>
      </c>
      <c r="F251" t="s">
        <v>979</v>
      </c>
    </row>
    <row r="252" spans="1:6" x14ac:dyDescent="0.3">
      <c r="A252">
        <v>251</v>
      </c>
      <c r="B252" t="s">
        <v>980</v>
      </c>
      <c r="C252" t="s">
        <v>32</v>
      </c>
      <c r="D252" s="1" t="s">
        <v>981</v>
      </c>
      <c r="E252" t="s">
        <v>982</v>
      </c>
      <c r="F252" t="s">
        <v>983</v>
      </c>
    </row>
    <row r="253" spans="1:6" x14ac:dyDescent="0.3">
      <c r="A253">
        <v>252</v>
      </c>
      <c r="B253" t="s">
        <v>984</v>
      </c>
      <c r="C253" t="s">
        <v>11</v>
      </c>
      <c r="D253" s="1" t="s">
        <v>985</v>
      </c>
      <c r="E253" t="s">
        <v>986</v>
      </c>
      <c r="F253" t="s">
        <v>987</v>
      </c>
    </row>
    <row r="254" spans="1:6" x14ac:dyDescent="0.3">
      <c r="A254">
        <v>253</v>
      </c>
      <c r="B254" t="s">
        <v>988</v>
      </c>
      <c r="C254" t="s">
        <v>45</v>
      </c>
      <c r="D254" s="1" t="s">
        <v>989</v>
      </c>
      <c r="E254" t="s">
        <v>990</v>
      </c>
      <c r="F254" t="s">
        <v>991</v>
      </c>
    </row>
    <row r="255" spans="1:6" x14ac:dyDescent="0.3">
      <c r="A255">
        <v>254</v>
      </c>
      <c r="B255" t="s">
        <v>992</v>
      </c>
      <c r="C255" t="s">
        <v>32</v>
      </c>
      <c r="D255" s="1" t="s">
        <v>993</v>
      </c>
      <c r="E255" t="s">
        <v>994</v>
      </c>
      <c r="F255" t="s">
        <v>995</v>
      </c>
    </row>
    <row r="256" spans="1:6" x14ac:dyDescent="0.3">
      <c r="A256">
        <v>255</v>
      </c>
      <c r="B256" t="s">
        <v>996</v>
      </c>
      <c r="C256" t="s">
        <v>7</v>
      </c>
      <c r="D256" s="1" t="s">
        <v>997</v>
      </c>
      <c r="E256" t="s">
        <v>998</v>
      </c>
      <c r="F256" t="s">
        <v>999</v>
      </c>
    </row>
    <row r="257" spans="1:6" x14ac:dyDescent="0.3">
      <c r="A257">
        <v>256</v>
      </c>
      <c r="B257" t="s">
        <v>1000</v>
      </c>
      <c r="C257" t="s">
        <v>11</v>
      </c>
      <c r="D257" s="1" t="s">
        <v>1001</v>
      </c>
      <c r="E257" t="s">
        <v>1002</v>
      </c>
      <c r="F257" t="s">
        <v>1003</v>
      </c>
    </row>
    <row r="258" spans="1:6" x14ac:dyDescent="0.3">
      <c r="A258">
        <v>257</v>
      </c>
      <c r="B258" t="s">
        <v>1004</v>
      </c>
      <c r="C258" t="s">
        <v>7</v>
      </c>
      <c r="D258" s="1" t="s">
        <v>1005</v>
      </c>
      <c r="E258" t="s">
        <v>1006</v>
      </c>
      <c r="F258" t="s">
        <v>1007</v>
      </c>
    </row>
    <row r="259" spans="1:6" x14ac:dyDescent="0.3">
      <c r="A259">
        <v>258</v>
      </c>
      <c r="B259" t="s">
        <v>1008</v>
      </c>
      <c r="C259" t="s">
        <v>32</v>
      </c>
      <c r="D259" s="1" t="s">
        <v>1009</v>
      </c>
      <c r="E259" t="s">
        <v>1010</v>
      </c>
      <c r="F259" t="s">
        <v>1011</v>
      </c>
    </row>
    <row r="260" spans="1:6" x14ac:dyDescent="0.3">
      <c r="A260">
        <v>259</v>
      </c>
      <c r="B260" t="s">
        <v>1012</v>
      </c>
      <c r="C260" t="s">
        <v>32</v>
      </c>
      <c r="D260" s="1" t="s">
        <v>1013</v>
      </c>
      <c r="E260" t="s">
        <v>1014</v>
      </c>
      <c r="F260" t="s">
        <v>1015</v>
      </c>
    </row>
    <row r="261" spans="1:6" x14ac:dyDescent="0.3">
      <c r="A261">
        <v>260</v>
      </c>
      <c r="B261" t="s">
        <v>1016</v>
      </c>
      <c r="C261" t="s">
        <v>11</v>
      </c>
      <c r="D261" s="1" t="s">
        <v>1017</v>
      </c>
      <c r="E261" t="s">
        <v>1018</v>
      </c>
      <c r="F261" t="s">
        <v>1019</v>
      </c>
    </row>
    <row r="262" spans="1:6" x14ac:dyDescent="0.3">
      <c r="A262">
        <v>261</v>
      </c>
      <c r="B262" t="s">
        <v>1020</v>
      </c>
      <c r="C262" t="s">
        <v>11</v>
      </c>
      <c r="D262" s="1" t="s">
        <v>1021</v>
      </c>
      <c r="E262" t="s">
        <v>1022</v>
      </c>
      <c r="F262" t="s">
        <v>1023</v>
      </c>
    </row>
    <row r="263" spans="1:6" x14ac:dyDescent="0.3">
      <c r="A263">
        <v>262</v>
      </c>
      <c r="B263" t="s">
        <v>1024</v>
      </c>
      <c r="C263" t="s">
        <v>7</v>
      </c>
      <c r="D263" s="1" t="s">
        <v>1025</v>
      </c>
      <c r="E263" t="s">
        <v>1026</v>
      </c>
      <c r="F263" t="s">
        <v>1027</v>
      </c>
    </row>
    <row r="264" spans="1:6" x14ac:dyDescent="0.3">
      <c r="A264">
        <v>263</v>
      </c>
      <c r="B264" t="s">
        <v>1028</v>
      </c>
      <c r="C264" t="s">
        <v>11</v>
      </c>
      <c r="D264" s="1" t="s">
        <v>1029</v>
      </c>
      <c r="E264" t="s">
        <v>1030</v>
      </c>
      <c r="F264" t="s">
        <v>1031</v>
      </c>
    </row>
    <row r="265" spans="1:6" x14ac:dyDescent="0.3">
      <c r="A265">
        <v>264</v>
      </c>
      <c r="B265" t="s">
        <v>1032</v>
      </c>
      <c r="C265" t="s">
        <v>45</v>
      </c>
      <c r="D265" s="1" t="s">
        <v>1033</v>
      </c>
      <c r="E265" t="s">
        <v>354</v>
      </c>
      <c r="F265" t="s">
        <v>1034</v>
      </c>
    </row>
    <row r="266" spans="1:6" x14ac:dyDescent="0.3">
      <c r="A266">
        <v>265</v>
      </c>
      <c r="B266" t="s">
        <v>1035</v>
      </c>
      <c r="C266" t="s">
        <v>45</v>
      </c>
      <c r="D266" s="1" t="s">
        <v>1036</v>
      </c>
      <c r="E266" t="s">
        <v>1037</v>
      </c>
      <c r="F266" t="s">
        <v>1038</v>
      </c>
    </row>
    <row r="267" spans="1:6" x14ac:dyDescent="0.3">
      <c r="A267">
        <v>266</v>
      </c>
      <c r="B267" t="s">
        <v>1039</v>
      </c>
      <c r="C267" t="s">
        <v>11</v>
      </c>
      <c r="D267" s="1" t="s">
        <v>1040</v>
      </c>
      <c r="E267" t="s">
        <v>1041</v>
      </c>
      <c r="F267" t="s">
        <v>1042</v>
      </c>
    </row>
    <row r="268" spans="1:6" x14ac:dyDescent="0.3">
      <c r="A268">
        <v>267</v>
      </c>
      <c r="B268" t="s">
        <v>1043</v>
      </c>
      <c r="C268" t="s">
        <v>45</v>
      </c>
      <c r="D268" s="1" t="s">
        <v>1044</v>
      </c>
      <c r="E268" t="s">
        <v>1045</v>
      </c>
      <c r="F268" t="s">
        <v>1046</v>
      </c>
    </row>
    <row r="269" spans="1:6" x14ac:dyDescent="0.3">
      <c r="A269">
        <v>268</v>
      </c>
      <c r="B269" t="s">
        <v>1047</v>
      </c>
      <c r="C269" t="s">
        <v>11</v>
      </c>
      <c r="D269" s="1" t="s">
        <v>1048</v>
      </c>
      <c r="E269" t="s">
        <v>1049</v>
      </c>
      <c r="F269" t="s">
        <v>1050</v>
      </c>
    </row>
    <row r="270" spans="1:6" x14ac:dyDescent="0.3">
      <c r="A270">
        <v>269</v>
      </c>
      <c r="B270" t="s">
        <v>1051</v>
      </c>
      <c r="C270" t="s">
        <v>32</v>
      </c>
      <c r="D270" s="1" t="s">
        <v>1052</v>
      </c>
      <c r="E270" t="s">
        <v>1053</v>
      </c>
      <c r="F270" t="s">
        <v>1054</v>
      </c>
    </row>
    <row r="271" spans="1:6" x14ac:dyDescent="0.3">
      <c r="A271">
        <v>270</v>
      </c>
      <c r="B271" t="s">
        <v>1055</v>
      </c>
      <c r="C271" t="s">
        <v>45</v>
      </c>
      <c r="D271" s="1" t="s">
        <v>1056</v>
      </c>
      <c r="E271" t="s">
        <v>1057</v>
      </c>
      <c r="F271" t="s">
        <v>1058</v>
      </c>
    </row>
    <row r="272" spans="1:6" x14ac:dyDescent="0.3">
      <c r="A272">
        <v>271</v>
      </c>
      <c r="B272" t="s">
        <v>1059</v>
      </c>
      <c r="C272" t="s">
        <v>32</v>
      </c>
      <c r="D272" s="1" t="s">
        <v>1060</v>
      </c>
      <c r="E272" t="s">
        <v>1061</v>
      </c>
      <c r="F272" t="s">
        <v>1062</v>
      </c>
    </row>
    <row r="273" spans="1:6" x14ac:dyDescent="0.3">
      <c r="A273">
        <v>272</v>
      </c>
      <c r="B273" t="s">
        <v>1063</v>
      </c>
      <c r="C273" t="s">
        <v>7</v>
      </c>
      <c r="D273" s="1" t="s">
        <v>1064</v>
      </c>
      <c r="E273" t="s">
        <v>1065</v>
      </c>
      <c r="F273" t="s">
        <v>1066</v>
      </c>
    </row>
    <row r="274" spans="1:6" x14ac:dyDescent="0.3">
      <c r="A274">
        <v>273</v>
      </c>
      <c r="B274" t="s">
        <v>1067</v>
      </c>
      <c r="C274" t="s">
        <v>7</v>
      </c>
      <c r="D274" s="1" t="s">
        <v>1068</v>
      </c>
      <c r="E274" t="s">
        <v>1026</v>
      </c>
      <c r="F274" t="s">
        <v>1069</v>
      </c>
    </row>
    <row r="275" spans="1:6" x14ac:dyDescent="0.3">
      <c r="A275">
        <v>274</v>
      </c>
      <c r="B275" t="s">
        <v>1070</v>
      </c>
      <c r="C275" t="s">
        <v>7</v>
      </c>
      <c r="D275" s="1" t="s">
        <v>1071</v>
      </c>
      <c r="E275" t="s">
        <v>1072</v>
      </c>
      <c r="F275">
        <v>9332911651</v>
      </c>
    </row>
    <row r="276" spans="1:6" x14ac:dyDescent="0.3">
      <c r="A276">
        <v>275</v>
      </c>
      <c r="B276" t="s">
        <v>1073</v>
      </c>
      <c r="C276" t="s">
        <v>7</v>
      </c>
      <c r="D276" s="1" t="s">
        <v>1074</v>
      </c>
      <c r="E276" t="s">
        <v>1075</v>
      </c>
      <c r="F276" t="s">
        <v>1076</v>
      </c>
    </row>
    <row r="277" spans="1:6" x14ac:dyDescent="0.3">
      <c r="A277">
        <v>276</v>
      </c>
      <c r="B277" t="s">
        <v>1077</v>
      </c>
      <c r="C277" t="s">
        <v>7</v>
      </c>
      <c r="D277" s="1" t="s">
        <v>1078</v>
      </c>
      <c r="E277" t="s">
        <v>1079</v>
      </c>
      <c r="F277">
        <v>3692481031</v>
      </c>
    </row>
    <row r="278" spans="1:6" x14ac:dyDescent="0.3">
      <c r="A278">
        <v>277</v>
      </c>
      <c r="B278" t="s">
        <v>1080</v>
      </c>
      <c r="C278" t="s">
        <v>45</v>
      </c>
      <c r="D278" s="1" t="s">
        <v>1081</v>
      </c>
      <c r="E278" t="s">
        <v>1082</v>
      </c>
      <c r="F278">
        <v>5918690343</v>
      </c>
    </row>
    <row r="279" spans="1:6" x14ac:dyDescent="0.3">
      <c r="A279">
        <v>278</v>
      </c>
      <c r="B279" t="s">
        <v>1083</v>
      </c>
      <c r="C279" t="s">
        <v>32</v>
      </c>
      <c r="D279" s="1" t="s">
        <v>1084</v>
      </c>
      <c r="E279" t="s">
        <v>1085</v>
      </c>
      <c r="F279">
        <v>2659382103</v>
      </c>
    </row>
    <row r="280" spans="1:6" x14ac:dyDescent="0.3">
      <c r="A280">
        <v>279</v>
      </c>
      <c r="B280" t="s">
        <v>1086</v>
      </c>
      <c r="C280" t="s">
        <v>32</v>
      </c>
      <c r="D280" s="1" t="s">
        <v>1087</v>
      </c>
      <c r="E280" t="s">
        <v>1088</v>
      </c>
      <c r="F280" t="s">
        <v>1089</v>
      </c>
    </row>
    <row r="281" spans="1:6" x14ac:dyDescent="0.3">
      <c r="A281">
        <v>280</v>
      </c>
      <c r="B281" t="s">
        <v>1090</v>
      </c>
      <c r="C281" t="s">
        <v>7</v>
      </c>
      <c r="D281" s="1" t="s">
        <v>1091</v>
      </c>
      <c r="E281" t="s">
        <v>1092</v>
      </c>
      <c r="F281">
        <v>7482492553</v>
      </c>
    </row>
    <row r="282" spans="1:6" x14ac:dyDescent="0.3">
      <c r="A282">
        <v>281</v>
      </c>
      <c r="B282" t="s">
        <v>1093</v>
      </c>
      <c r="C282" t="s">
        <v>11</v>
      </c>
      <c r="D282" s="1" t="s">
        <v>1094</v>
      </c>
      <c r="E282" t="s">
        <v>1095</v>
      </c>
      <c r="F282" t="s">
        <v>1096</v>
      </c>
    </row>
    <row r="283" spans="1:6" x14ac:dyDescent="0.3">
      <c r="A283">
        <v>282</v>
      </c>
      <c r="B283" t="s">
        <v>1097</v>
      </c>
      <c r="C283" t="s">
        <v>7</v>
      </c>
      <c r="D283" s="1" t="s">
        <v>1098</v>
      </c>
      <c r="E283" t="s">
        <v>1099</v>
      </c>
      <c r="F283" t="s">
        <v>1100</v>
      </c>
    </row>
    <row r="284" spans="1:6" x14ac:dyDescent="0.3">
      <c r="A284">
        <v>283</v>
      </c>
      <c r="B284" t="s">
        <v>1101</v>
      </c>
      <c r="C284" t="s">
        <v>7</v>
      </c>
      <c r="D284" s="1" t="s">
        <v>1102</v>
      </c>
      <c r="E284" t="s">
        <v>1103</v>
      </c>
      <c r="F284" t="s">
        <v>1104</v>
      </c>
    </row>
    <row r="285" spans="1:6" x14ac:dyDescent="0.3">
      <c r="A285">
        <v>284</v>
      </c>
      <c r="B285" t="s">
        <v>1105</v>
      </c>
      <c r="C285" t="s">
        <v>7</v>
      </c>
      <c r="D285" s="1" t="s">
        <v>1106</v>
      </c>
      <c r="E285" t="s">
        <v>931</v>
      </c>
      <c r="F285" t="s">
        <v>1107</v>
      </c>
    </row>
    <row r="286" spans="1:6" x14ac:dyDescent="0.3">
      <c r="A286">
        <v>285</v>
      </c>
      <c r="B286" t="s">
        <v>1108</v>
      </c>
      <c r="C286" t="s">
        <v>32</v>
      </c>
      <c r="D286" s="1" t="s">
        <v>1109</v>
      </c>
      <c r="E286" t="s">
        <v>1110</v>
      </c>
      <c r="F286" t="s">
        <v>1111</v>
      </c>
    </row>
    <row r="287" spans="1:6" x14ac:dyDescent="0.3">
      <c r="A287">
        <v>286</v>
      </c>
      <c r="B287" t="s">
        <v>1112</v>
      </c>
      <c r="C287" t="s">
        <v>32</v>
      </c>
      <c r="D287" s="1" t="s">
        <v>1113</v>
      </c>
      <c r="E287" t="s">
        <v>1114</v>
      </c>
      <c r="F287">
        <f>1-789-619-8079</f>
        <v>-9486</v>
      </c>
    </row>
    <row r="288" spans="1:6" x14ac:dyDescent="0.3">
      <c r="A288">
        <v>287</v>
      </c>
      <c r="B288" t="s">
        <v>1115</v>
      </c>
      <c r="C288" t="s">
        <v>45</v>
      </c>
      <c r="D288" s="1" t="s">
        <v>1116</v>
      </c>
      <c r="E288" t="s">
        <v>1117</v>
      </c>
      <c r="F288" t="s">
        <v>1118</v>
      </c>
    </row>
    <row r="289" spans="1:6" x14ac:dyDescent="0.3">
      <c r="A289">
        <v>288</v>
      </c>
      <c r="B289" t="s">
        <v>1119</v>
      </c>
      <c r="C289" t="s">
        <v>7</v>
      </c>
      <c r="D289" s="1" t="s">
        <v>1120</v>
      </c>
      <c r="E289" t="s">
        <v>1121</v>
      </c>
      <c r="F289" t="s">
        <v>1122</v>
      </c>
    </row>
    <row r="290" spans="1:6" x14ac:dyDescent="0.3">
      <c r="A290">
        <v>289</v>
      </c>
      <c r="B290" t="s">
        <v>1123</v>
      </c>
      <c r="C290" t="s">
        <v>7</v>
      </c>
      <c r="D290" s="1" t="s">
        <v>1124</v>
      </c>
      <c r="E290" t="s">
        <v>1125</v>
      </c>
      <c r="F290">
        <v>1448122181</v>
      </c>
    </row>
    <row r="291" spans="1:6" x14ac:dyDescent="0.3">
      <c r="A291">
        <v>290</v>
      </c>
      <c r="B291" t="s">
        <v>1126</v>
      </c>
      <c r="C291" t="s">
        <v>7</v>
      </c>
      <c r="D291" s="1" t="s">
        <v>1127</v>
      </c>
      <c r="E291" t="s">
        <v>783</v>
      </c>
      <c r="F291" t="s">
        <v>1128</v>
      </c>
    </row>
    <row r="292" spans="1:6" x14ac:dyDescent="0.3">
      <c r="A292">
        <v>291</v>
      </c>
      <c r="B292" t="s">
        <v>1129</v>
      </c>
      <c r="C292" t="s">
        <v>11</v>
      </c>
      <c r="D292" s="1" t="s">
        <v>1130</v>
      </c>
      <c r="E292" t="s">
        <v>1131</v>
      </c>
      <c r="F292" t="s">
        <v>1132</v>
      </c>
    </row>
    <row r="293" spans="1:6" x14ac:dyDescent="0.3">
      <c r="A293">
        <v>292</v>
      </c>
      <c r="B293" t="s">
        <v>1133</v>
      </c>
      <c r="C293" t="s">
        <v>7</v>
      </c>
      <c r="D293" s="1" t="s">
        <v>1134</v>
      </c>
      <c r="E293" t="s">
        <v>1135</v>
      </c>
      <c r="F293" t="s">
        <v>1136</v>
      </c>
    </row>
    <row r="294" spans="1:6" x14ac:dyDescent="0.3">
      <c r="A294">
        <v>293</v>
      </c>
      <c r="B294" t="s">
        <v>1137</v>
      </c>
      <c r="C294" t="s">
        <v>45</v>
      </c>
      <c r="D294" s="1" t="s">
        <v>1138</v>
      </c>
      <c r="E294" t="s">
        <v>1139</v>
      </c>
      <c r="F294" t="s">
        <v>1140</v>
      </c>
    </row>
    <row r="295" spans="1:6" x14ac:dyDescent="0.3">
      <c r="A295">
        <v>294</v>
      </c>
      <c r="B295" t="s">
        <v>1141</v>
      </c>
      <c r="C295" t="s">
        <v>11</v>
      </c>
      <c r="D295" s="1" t="s">
        <v>1142</v>
      </c>
      <c r="E295" t="s">
        <v>1143</v>
      </c>
      <c r="F295" t="s">
        <v>1144</v>
      </c>
    </row>
    <row r="296" spans="1:6" x14ac:dyDescent="0.3">
      <c r="A296">
        <v>295</v>
      </c>
      <c r="B296" t="s">
        <v>1145</v>
      </c>
      <c r="C296" t="s">
        <v>32</v>
      </c>
      <c r="D296" s="1" t="s">
        <v>1146</v>
      </c>
      <c r="E296" t="s">
        <v>1147</v>
      </c>
      <c r="F296">
        <v>8457019148</v>
      </c>
    </row>
    <row r="297" spans="1:6" x14ac:dyDescent="0.3">
      <c r="A297">
        <v>296</v>
      </c>
      <c r="B297" t="s">
        <v>1148</v>
      </c>
      <c r="C297" t="s">
        <v>11</v>
      </c>
      <c r="D297" s="1" t="s">
        <v>1149</v>
      </c>
      <c r="E297" t="s">
        <v>1150</v>
      </c>
      <c r="F297" t="s">
        <v>1151</v>
      </c>
    </row>
    <row r="298" spans="1:6" x14ac:dyDescent="0.3">
      <c r="A298">
        <v>297</v>
      </c>
      <c r="B298" t="s">
        <v>1152</v>
      </c>
      <c r="C298" t="s">
        <v>11</v>
      </c>
      <c r="D298" s="1" t="s">
        <v>1153</v>
      </c>
      <c r="E298" t="s">
        <v>1154</v>
      </c>
      <c r="F298" t="s">
        <v>1155</v>
      </c>
    </row>
    <row r="299" spans="1:6" x14ac:dyDescent="0.3">
      <c r="A299">
        <v>298</v>
      </c>
      <c r="B299" t="s">
        <v>1156</v>
      </c>
      <c r="C299" t="s">
        <v>32</v>
      </c>
      <c r="D299" s="1" t="s">
        <v>1157</v>
      </c>
      <c r="E299" t="s">
        <v>1158</v>
      </c>
      <c r="F299">
        <v>1800451358</v>
      </c>
    </row>
    <row r="300" spans="1:6" x14ac:dyDescent="0.3">
      <c r="A300">
        <v>299</v>
      </c>
      <c r="B300" t="s">
        <v>1159</v>
      </c>
      <c r="C300" t="s">
        <v>7</v>
      </c>
      <c r="D300" s="1" t="s">
        <v>1160</v>
      </c>
      <c r="E300" t="s">
        <v>1161</v>
      </c>
      <c r="F300" t="s">
        <v>1162</v>
      </c>
    </row>
    <row r="301" spans="1:6" x14ac:dyDescent="0.3">
      <c r="A301">
        <v>300</v>
      </c>
      <c r="B301" t="s">
        <v>1163</v>
      </c>
      <c r="C301" t="s">
        <v>7</v>
      </c>
      <c r="D301" s="1" t="s">
        <v>1164</v>
      </c>
      <c r="E301" t="s">
        <v>1165</v>
      </c>
      <c r="F301" t="s">
        <v>1166</v>
      </c>
    </row>
    <row r="302" spans="1:6" x14ac:dyDescent="0.3">
      <c r="A302">
        <v>301</v>
      </c>
      <c r="B302" t="s">
        <v>1167</v>
      </c>
      <c r="C302" t="s">
        <v>7</v>
      </c>
      <c r="D302" s="1" t="s">
        <v>1168</v>
      </c>
      <c r="E302" t="s">
        <v>1169</v>
      </c>
      <c r="F302" t="s">
        <v>1170</v>
      </c>
    </row>
    <row r="303" spans="1:6" x14ac:dyDescent="0.3">
      <c r="A303">
        <v>302</v>
      </c>
      <c r="B303" t="s">
        <v>1171</v>
      </c>
      <c r="C303" t="s">
        <v>11</v>
      </c>
      <c r="D303" s="1" t="s">
        <v>1172</v>
      </c>
      <c r="E303" t="s">
        <v>1173</v>
      </c>
      <c r="F303" t="s">
        <v>1174</v>
      </c>
    </row>
    <row r="304" spans="1:6" x14ac:dyDescent="0.3">
      <c r="A304">
        <v>303</v>
      </c>
      <c r="B304" t="s">
        <v>115</v>
      </c>
      <c r="C304" t="s">
        <v>45</v>
      </c>
      <c r="D304" s="1" t="s">
        <v>1175</v>
      </c>
      <c r="E304" t="s">
        <v>1176</v>
      </c>
      <c r="F304" t="s">
        <v>1177</v>
      </c>
    </row>
    <row r="305" spans="1:6" x14ac:dyDescent="0.3">
      <c r="A305">
        <v>304</v>
      </c>
      <c r="B305" t="s">
        <v>1178</v>
      </c>
      <c r="C305" t="s">
        <v>45</v>
      </c>
      <c r="D305" s="1" t="s">
        <v>1179</v>
      </c>
      <c r="E305" t="s">
        <v>1180</v>
      </c>
      <c r="F305" t="s">
        <v>1181</v>
      </c>
    </row>
    <row r="306" spans="1:6" x14ac:dyDescent="0.3">
      <c r="A306">
        <v>305</v>
      </c>
      <c r="B306" t="s">
        <v>1182</v>
      </c>
      <c r="C306" t="s">
        <v>11</v>
      </c>
      <c r="D306" s="1" t="s">
        <v>1183</v>
      </c>
      <c r="E306" t="s">
        <v>1184</v>
      </c>
      <c r="F306" t="s">
        <v>1185</v>
      </c>
    </row>
    <row r="307" spans="1:6" x14ac:dyDescent="0.3">
      <c r="A307">
        <v>306</v>
      </c>
      <c r="B307" t="s">
        <v>1186</v>
      </c>
      <c r="C307" t="s">
        <v>45</v>
      </c>
      <c r="D307" s="1" t="s">
        <v>1187</v>
      </c>
      <c r="E307" t="s">
        <v>1188</v>
      </c>
      <c r="F307" t="s">
        <v>1189</v>
      </c>
    </row>
    <row r="308" spans="1:6" x14ac:dyDescent="0.3">
      <c r="A308">
        <v>307</v>
      </c>
      <c r="B308" t="s">
        <v>1190</v>
      </c>
      <c r="C308" t="s">
        <v>45</v>
      </c>
      <c r="D308" s="1" t="s">
        <v>1191</v>
      </c>
      <c r="E308" t="s">
        <v>1192</v>
      </c>
      <c r="F308" t="s">
        <v>1193</v>
      </c>
    </row>
    <row r="309" spans="1:6" x14ac:dyDescent="0.3">
      <c r="A309">
        <v>308</v>
      </c>
      <c r="B309" t="s">
        <v>1194</v>
      </c>
      <c r="C309" t="s">
        <v>45</v>
      </c>
      <c r="D309" s="1" t="s">
        <v>1195</v>
      </c>
      <c r="E309" t="s">
        <v>1196</v>
      </c>
      <c r="F309">
        <v>312154595</v>
      </c>
    </row>
    <row r="310" spans="1:6" x14ac:dyDescent="0.3">
      <c r="A310">
        <v>309</v>
      </c>
      <c r="B310" t="s">
        <v>1197</v>
      </c>
      <c r="C310" t="s">
        <v>45</v>
      </c>
      <c r="D310" s="1" t="s">
        <v>1198</v>
      </c>
      <c r="E310" t="s">
        <v>1199</v>
      </c>
      <c r="F310" t="s">
        <v>1200</v>
      </c>
    </row>
    <row r="311" spans="1:6" x14ac:dyDescent="0.3">
      <c r="A311">
        <v>310</v>
      </c>
      <c r="B311" t="s">
        <v>1201</v>
      </c>
      <c r="C311" t="s">
        <v>11</v>
      </c>
      <c r="D311" s="1" t="s">
        <v>1202</v>
      </c>
      <c r="E311" t="s">
        <v>1203</v>
      </c>
      <c r="F311" t="s">
        <v>1204</v>
      </c>
    </row>
    <row r="312" spans="1:6" x14ac:dyDescent="0.3">
      <c r="A312">
        <v>311</v>
      </c>
      <c r="B312" t="s">
        <v>1205</v>
      </c>
      <c r="C312" t="s">
        <v>11</v>
      </c>
      <c r="D312" s="1" t="s">
        <v>1206</v>
      </c>
      <c r="E312" t="s">
        <v>1207</v>
      </c>
      <c r="F312" t="s">
        <v>1208</v>
      </c>
    </row>
    <row r="313" spans="1:6" x14ac:dyDescent="0.3">
      <c r="A313">
        <v>312</v>
      </c>
      <c r="B313" t="s">
        <v>1209</v>
      </c>
      <c r="C313" t="s">
        <v>32</v>
      </c>
      <c r="D313" s="1" t="s">
        <v>1210</v>
      </c>
      <c r="E313" t="s">
        <v>1211</v>
      </c>
      <c r="F313" t="s">
        <v>1212</v>
      </c>
    </row>
    <row r="314" spans="1:6" x14ac:dyDescent="0.3">
      <c r="A314">
        <v>313</v>
      </c>
      <c r="B314" t="s">
        <v>1213</v>
      </c>
      <c r="C314" t="s">
        <v>7</v>
      </c>
      <c r="D314" s="1" t="s">
        <v>1214</v>
      </c>
      <c r="E314" t="s">
        <v>1215</v>
      </c>
      <c r="F314">
        <v>9538261424</v>
      </c>
    </row>
    <row r="315" spans="1:6" x14ac:dyDescent="0.3">
      <c r="A315">
        <v>314</v>
      </c>
      <c r="B315" t="s">
        <v>1216</v>
      </c>
      <c r="C315" t="s">
        <v>32</v>
      </c>
      <c r="D315" s="1" t="s">
        <v>1217</v>
      </c>
      <c r="E315" t="s">
        <v>1218</v>
      </c>
      <c r="F315" t="s">
        <v>1219</v>
      </c>
    </row>
    <row r="316" spans="1:6" x14ac:dyDescent="0.3">
      <c r="A316">
        <v>315</v>
      </c>
      <c r="B316" t="s">
        <v>1220</v>
      </c>
      <c r="C316" t="s">
        <v>32</v>
      </c>
      <c r="D316" s="1" t="s">
        <v>1221</v>
      </c>
      <c r="E316" t="s">
        <v>1222</v>
      </c>
      <c r="F316" t="s">
        <v>1223</v>
      </c>
    </row>
    <row r="317" spans="1:6" x14ac:dyDescent="0.3">
      <c r="A317">
        <v>316</v>
      </c>
      <c r="B317" t="s">
        <v>1224</v>
      </c>
      <c r="C317" t="s">
        <v>7</v>
      </c>
      <c r="D317" s="1" t="s">
        <v>1225</v>
      </c>
      <c r="E317" t="s">
        <v>1226</v>
      </c>
      <c r="F317" t="s">
        <v>1227</v>
      </c>
    </row>
    <row r="318" spans="1:6" x14ac:dyDescent="0.3">
      <c r="A318">
        <v>317</v>
      </c>
      <c r="B318" t="s">
        <v>1228</v>
      </c>
      <c r="C318" t="s">
        <v>11</v>
      </c>
      <c r="D318" s="1" t="s">
        <v>1229</v>
      </c>
      <c r="E318" t="s">
        <v>1230</v>
      </c>
      <c r="F318" t="s">
        <v>1231</v>
      </c>
    </row>
    <row r="319" spans="1:6" x14ac:dyDescent="0.3">
      <c r="A319">
        <v>318</v>
      </c>
      <c r="B319" t="s">
        <v>1232</v>
      </c>
      <c r="C319" t="s">
        <v>45</v>
      </c>
      <c r="D319" s="1" t="s">
        <v>1233</v>
      </c>
      <c r="E319" t="s">
        <v>1234</v>
      </c>
      <c r="F319" t="s">
        <v>1235</v>
      </c>
    </row>
    <row r="320" spans="1:6" x14ac:dyDescent="0.3">
      <c r="A320">
        <v>319</v>
      </c>
      <c r="B320" t="s">
        <v>1236</v>
      </c>
      <c r="C320" t="s">
        <v>32</v>
      </c>
      <c r="D320" s="1" t="s">
        <v>1237</v>
      </c>
      <c r="E320" t="s">
        <v>1238</v>
      </c>
      <c r="F320">
        <v>2386104312</v>
      </c>
    </row>
    <row r="321" spans="1:6" x14ac:dyDescent="0.3">
      <c r="A321">
        <v>320</v>
      </c>
      <c r="B321" t="s">
        <v>1239</v>
      </c>
      <c r="C321" t="s">
        <v>7</v>
      </c>
      <c r="D321" s="1" t="s">
        <v>1240</v>
      </c>
      <c r="E321" t="s">
        <v>1241</v>
      </c>
      <c r="F321" t="s">
        <v>1242</v>
      </c>
    </row>
    <row r="322" spans="1:6" x14ac:dyDescent="0.3">
      <c r="A322">
        <v>321</v>
      </c>
      <c r="B322" t="s">
        <v>1243</v>
      </c>
      <c r="C322" t="s">
        <v>32</v>
      </c>
      <c r="D322" s="1" t="s">
        <v>1244</v>
      </c>
      <c r="E322" t="s">
        <v>1245</v>
      </c>
      <c r="F322" t="s">
        <v>1246</v>
      </c>
    </row>
    <row r="323" spans="1:6" x14ac:dyDescent="0.3">
      <c r="A323">
        <v>322</v>
      </c>
      <c r="B323" t="s">
        <v>1247</v>
      </c>
      <c r="C323" t="s">
        <v>45</v>
      </c>
      <c r="D323" s="1" t="s">
        <v>1248</v>
      </c>
      <c r="E323" t="s">
        <v>1249</v>
      </c>
      <c r="F323" t="s">
        <v>1250</v>
      </c>
    </row>
    <row r="324" spans="1:6" x14ac:dyDescent="0.3">
      <c r="A324">
        <v>323</v>
      </c>
      <c r="B324" t="s">
        <v>1251</v>
      </c>
      <c r="C324" t="s">
        <v>32</v>
      </c>
      <c r="D324" s="1" t="s">
        <v>1252</v>
      </c>
      <c r="E324" t="s">
        <v>1253</v>
      </c>
      <c r="F324" t="s">
        <v>1254</v>
      </c>
    </row>
    <row r="325" spans="1:6" x14ac:dyDescent="0.3">
      <c r="A325">
        <v>324</v>
      </c>
      <c r="B325" t="s">
        <v>1255</v>
      </c>
      <c r="C325" t="s">
        <v>11</v>
      </c>
      <c r="D325" s="1" t="s">
        <v>1256</v>
      </c>
      <c r="E325" t="s">
        <v>1257</v>
      </c>
      <c r="F325" t="s">
        <v>1258</v>
      </c>
    </row>
    <row r="326" spans="1:6" x14ac:dyDescent="0.3">
      <c r="A326">
        <v>325</v>
      </c>
      <c r="B326" t="s">
        <v>1259</v>
      </c>
      <c r="C326" t="s">
        <v>7</v>
      </c>
      <c r="D326" s="1" t="s">
        <v>1260</v>
      </c>
      <c r="E326" t="s">
        <v>1261</v>
      </c>
      <c r="F326" t="s">
        <v>1262</v>
      </c>
    </row>
    <row r="327" spans="1:6" x14ac:dyDescent="0.3">
      <c r="A327">
        <v>326</v>
      </c>
      <c r="B327" t="s">
        <v>1263</v>
      </c>
      <c r="C327" t="s">
        <v>7</v>
      </c>
      <c r="D327" s="1" t="s">
        <v>1264</v>
      </c>
      <c r="E327" t="s">
        <v>1265</v>
      </c>
      <c r="F327" t="s">
        <v>1266</v>
      </c>
    </row>
    <row r="328" spans="1:6" x14ac:dyDescent="0.3">
      <c r="A328">
        <v>327</v>
      </c>
      <c r="B328" t="s">
        <v>1267</v>
      </c>
      <c r="C328" t="s">
        <v>32</v>
      </c>
      <c r="D328" s="1" t="s">
        <v>1268</v>
      </c>
      <c r="E328" t="s">
        <v>1269</v>
      </c>
      <c r="F328" t="s">
        <v>1270</v>
      </c>
    </row>
    <row r="329" spans="1:6" x14ac:dyDescent="0.3">
      <c r="A329">
        <v>328</v>
      </c>
      <c r="B329" t="s">
        <v>1271</v>
      </c>
      <c r="C329" t="s">
        <v>11</v>
      </c>
      <c r="D329" s="1" t="s">
        <v>1272</v>
      </c>
      <c r="E329" t="s">
        <v>1273</v>
      </c>
      <c r="F329" t="s">
        <v>1274</v>
      </c>
    </row>
    <row r="330" spans="1:6" x14ac:dyDescent="0.3">
      <c r="A330">
        <v>329</v>
      </c>
      <c r="B330" t="s">
        <v>1275</v>
      </c>
      <c r="C330" t="s">
        <v>32</v>
      </c>
      <c r="D330" s="1" t="s">
        <v>1276</v>
      </c>
      <c r="E330" t="s">
        <v>1277</v>
      </c>
      <c r="F330">
        <f>1-729-788-7288</f>
        <v>-8804</v>
      </c>
    </row>
    <row r="331" spans="1:6" x14ac:dyDescent="0.3">
      <c r="A331">
        <v>330</v>
      </c>
      <c r="B331" t="s">
        <v>1278</v>
      </c>
      <c r="C331" t="s">
        <v>32</v>
      </c>
      <c r="D331" s="1" t="s">
        <v>1279</v>
      </c>
      <c r="E331" t="s">
        <v>1280</v>
      </c>
      <c r="F331" t="s">
        <v>1281</v>
      </c>
    </row>
    <row r="332" spans="1:6" x14ac:dyDescent="0.3">
      <c r="A332">
        <v>331</v>
      </c>
      <c r="B332" t="s">
        <v>1282</v>
      </c>
      <c r="C332" t="s">
        <v>45</v>
      </c>
      <c r="D332" s="1" t="s">
        <v>1283</v>
      </c>
      <c r="E332" t="s">
        <v>1284</v>
      </c>
      <c r="F332" t="s">
        <v>1285</v>
      </c>
    </row>
    <row r="333" spans="1:6" x14ac:dyDescent="0.3">
      <c r="A333">
        <v>332</v>
      </c>
      <c r="B333" t="s">
        <v>1286</v>
      </c>
      <c r="C333" t="s">
        <v>32</v>
      </c>
      <c r="D333" s="1" t="s">
        <v>1287</v>
      </c>
      <c r="E333" t="s">
        <v>1288</v>
      </c>
      <c r="F333" t="s">
        <v>1289</v>
      </c>
    </row>
    <row r="334" spans="1:6" x14ac:dyDescent="0.3">
      <c r="A334">
        <v>333</v>
      </c>
      <c r="B334" t="s">
        <v>1290</v>
      </c>
      <c r="C334" t="s">
        <v>32</v>
      </c>
      <c r="D334" s="1" t="s">
        <v>1291</v>
      </c>
      <c r="E334" t="s">
        <v>1292</v>
      </c>
      <c r="F334" t="s">
        <v>1293</v>
      </c>
    </row>
    <row r="335" spans="1:6" x14ac:dyDescent="0.3">
      <c r="A335">
        <v>334</v>
      </c>
      <c r="B335" t="s">
        <v>1294</v>
      </c>
      <c r="C335" t="s">
        <v>11</v>
      </c>
      <c r="D335" s="1" t="s">
        <v>1295</v>
      </c>
      <c r="E335" t="s">
        <v>1296</v>
      </c>
      <c r="F335" t="s">
        <v>1297</v>
      </c>
    </row>
    <row r="336" spans="1:6" x14ac:dyDescent="0.3">
      <c r="A336">
        <v>335</v>
      </c>
      <c r="B336" t="s">
        <v>1298</v>
      </c>
      <c r="C336" t="s">
        <v>11</v>
      </c>
      <c r="D336" s="1" t="s">
        <v>1299</v>
      </c>
      <c r="E336" t="s">
        <v>1300</v>
      </c>
      <c r="F336" t="s">
        <v>1301</v>
      </c>
    </row>
    <row r="337" spans="1:6" x14ac:dyDescent="0.3">
      <c r="A337">
        <v>336</v>
      </c>
      <c r="B337" t="s">
        <v>1302</v>
      </c>
      <c r="C337" t="s">
        <v>7</v>
      </c>
      <c r="D337" s="1" t="s">
        <v>1303</v>
      </c>
      <c r="E337" t="s">
        <v>1304</v>
      </c>
      <c r="F337" t="s">
        <v>1305</v>
      </c>
    </row>
    <row r="338" spans="1:6" x14ac:dyDescent="0.3">
      <c r="A338">
        <v>337</v>
      </c>
      <c r="B338" t="s">
        <v>1306</v>
      </c>
      <c r="C338" t="s">
        <v>32</v>
      </c>
      <c r="D338" s="1" t="s">
        <v>1307</v>
      </c>
      <c r="E338" t="s">
        <v>1308</v>
      </c>
      <c r="F338" t="s">
        <v>1309</v>
      </c>
    </row>
    <row r="339" spans="1:6" x14ac:dyDescent="0.3">
      <c r="A339">
        <v>338</v>
      </c>
      <c r="B339" t="s">
        <v>1310</v>
      </c>
      <c r="C339" t="s">
        <v>45</v>
      </c>
      <c r="D339" s="1" t="s">
        <v>1311</v>
      </c>
      <c r="E339" t="s">
        <v>1312</v>
      </c>
      <c r="F339">
        <v>6703380260</v>
      </c>
    </row>
    <row r="340" spans="1:6" x14ac:dyDescent="0.3">
      <c r="A340">
        <v>339</v>
      </c>
      <c r="B340" t="s">
        <v>1313</v>
      </c>
      <c r="C340" t="s">
        <v>32</v>
      </c>
      <c r="D340" s="1" t="s">
        <v>1314</v>
      </c>
      <c r="E340" t="s">
        <v>884</v>
      </c>
      <c r="F340">
        <f>1-218-970-3762</f>
        <v>-4949</v>
      </c>
    </row>
    <row r="341" spans="1:6" x14ac:dyDescent="0.3">
      <c r="A341">
        <v>340</v>
      </c>
      <c r="B341" t="s">
        <v>1315</v>
      </c>
      <c r="C341" t="s">
        <v>11</v>
      </c>
      <c r="D341" s="1" t="s">
        <v>1316</v>
      </c>
      <c r="E341" t="s">
        <v>1317</v>
      </c>
      <c r="F341" t="s">
        <v>1318</v>
      </c>
    </row>
    <row r="342" spans="1:6" x14ac:dyDescent="0.3">
      <c r="A342">
        <v>341</v>
      </c>
      <c r="B342" t="s">
        <v>1319</v>
      </c>
      <c r="C342" t="s">
        <v>11</v>
      </c>
      <c r="D342" s="1" t="s">
        <v>1320</v>
      </c>
      <c r="E342" t="s">
        <v>1321</v>
      </c>
      <c r="F342" t="s">
        <v>1322</v>
      </c>
    </row>
    <row r="343" spans="1:6" x14ac:dyDescent="0.3">
      <c r="A343">
        <v>342</v>
      </c>
      <c r="B343" t="s">
        <v>1323</v>
      </c>
      <c r="C343" t="s">
        <v>45</v>
      </c>
      <c r="D343" s="1" t="s">
        <v>1324</v>
      </c>
      <c r="E343" t="s">
        <v>1325</v>
      </c>
      <c r="F343">
        <f>1-340-986-4095</f>
        <v>-5420</v>
      </c>
    </row>
    <row r="344" spans="1:6" x14ac:dyDescent="0.3">
      <c r="A344">
        <v>343</v>
      </c>
      <c r="B344" t="s">
        <v>1326</v>
      </c>
      <c r="C344" t="s">
        <v>45</v>
      </c>
      <c r="D344" s="1" t="s">
        <v>1327</v>
      </c>
      <c r="E344" t="s">
        <v>1328</v>
      </c>
      <c r="F344" t="s">
        <v>1329</v>
      </c>
    </row>
    <row r="345" spans="1:6" x14ac:dyDescent="0.3">
      <c r="A345">
        <v>344</v>
      </c>
      <c r="B345" t="s">
        <v>1330</v>
      </c>
      <c r="C345" t="s">
        <v>45</v>
      </c>
      <c r="D345" s="1" t="s">
        <v>1331</v>
      </c>
      <c r="E345" t="s">
        <v>1332</v>
      </c>
      <c r="F345" t="s">
        <v>1333</v>
      </c>
    </row>
    <row r="346" spans="1:6" x14ac:dyDescent="0.3">
      <c r="A346">
        <v>345</v>
      </c>
      <c r="B346" t="s">
        <v>1334</v>
      </c>
      <c r="C346" t="s">
        <v>45</v>
      </c>
      <c r="D346" s="1" t="s">
        <v>1335</v>
      </c>
      <c r="E346" t="s">
        <v>1336</v>
      </c>
      <c r="F346" t="s">
        <v>1337</v>
      </c>
    </row>
    <row r="347" spans="1:6" x14ac:dyDescent="0.3">
      <c r="A347">
        <v>346</v>
      </c>
      <c r="B347" t="s">
        <v>1338</v>
      </c>
      <c r="C347" t="s">
        <v>11</v>
      </c>
      <c r="D347" s="1" t="s">
        <v>1339</v>
      </c>
      <c r="E347" t="s">
        <v>1340</v>
      </c>
      <c r="F347" t="s">
        <v>1341</v>
      </c>
    </row>
    <row r="348" spans="1:6" x14ac:dyDescent="0.3">
      <c r="A348">
        <v>347</v>
      </c>
      <c r="B348" t="s">
        <v>1342</v>
      </c>
      <c r="C348" t="s">
        <v>7</v>
      </c>
      <c r="D348" s="1" t="s">
        <v>1343</v>
      </c>
      <c r="E348" t="s">
        <v>1344</v>
      </c>
      <c r="F348" t="s">
        <v>1345</v>
      </c>
    </row>
    <row r="349" spans="1:6" x14ac:dyDescent="0.3">
      <c r="A349">
        <v>348</v>
      </c>
      <c r="B349" t="s">
        <v>1346</v>
      </c>
      <c r="C349" t="s">
        <v>32</v>
      </c>
      <c r="D349" s="1" t="s">
        <v>1347</v>
      </c>
      <c r="E349" t="s">
        <v>1348</v>
      </c>
      <c r="F349" t="s">
        <v>1349</v>
      </c>
    </row>
    <row r="350" spans="1:6" x14ac:dyDescent="0.3">
      <c r="A350">
        <v>349</v>
      </c>
      <c r="B350" t="s">
        <v>1350</v>
      </c>
      <c r="C350" t="s">
        <v>7</v>
      </c>
      <c r="D350" s="1" t="s">
        <v>1351</v>
      </c>
      <c r="E350" t="s">
        <v>1352</v>
      </c>
      <c r="F350" t="s">
        <v>1353</v>
      </c>
    </row>
    <row r="351" spans="1:6" x14ac:dyDescent="0.3">
      <c r="A351">
        <v>350</v>
      </c>
      <c r="B351" t="s">
        <v>1354</v>
      </c>
      <c r="C351" t="s">
        <v>32</v>
      </c>
      <c r="D351" s="1" t="s">
        <v>1355</v>
      </c>
      <c r="E351" t="s">
        <v>1356</v>
      </c>
      <c r="F351" t="s">
        <v>1357</v>
      </c>
    </row>
    <row r="352" spans="1:6" x14ac:dyDescent="0.3">
      <c r="A352">
        <v>351</v>
      </c>
      <c r="B352" t="s">
        <v>1358</v>
      </c>
      <c r="C352" t="s">
        <v>11</v>
      </c>
      <c r="D352" s="1" t="s">
        <v>1359</v>
      </c>
      <c r="E352" t="s">
        <v>1360</v>
      </c>
      <c r="F352" t="s">
        <v>1361</v>
      </c>
    </row>
    <row r="353" spans="1:6" x14ac:dyDescent="0.3">
      <c r="A353">
        <v>352</v>
      </c>
      <c r="B353" t="s">
        <v>1362</v>
      </c>
      <c r="C353" t="s">
        <v>11</v>
      </c>
      <c r="D353" s="1" t="s">
        <v>1363</v>
      </c>
      <c r="E353" t="s">
        <v>283</v>
      </c>
      <c r="F353" t="s">
        <v>1364</v>
      </c>
    </row>
    <row r="354" spans="1:6" x14ac:dyDescent="0.3">
      <c r="A354">
        <v>353</v>
      </c>
      <c r="B354" t="s">
        <v>1365</v>
      </c>
      <c r="C354" t="s">
        <v>11</v>
      </c>
      <c r="D354" s="1" t="s">
        <v>1366</v>
      </c>
      <c r="E354" t="s">
        <v>1367</v>
      </c>
      <c r="F354" t="s">
        <v>1368</v>
      </c>
    </row>
    <row r="355" spans="1:6" x14ac:dyDescent="0.3">
      <c r="A355">
        <v>354</v>
      </c>
      <c r="B355" t="s">
        <v>1369</v>
      </c>
      <c r="C355" t="s">
        <v>45</v>
      </c>
      <c r="D355" s="1" t="s">
        <v>1370</v>
      </c>
      <c r="E355" t="s">
        <v>1371</v>
      </c>
      <c r="F355" t="s">
        <v>1372</v>
      </c>
    </row>
    <row r="356" spans="1:6" x14ac:dyDescent="0.3">
      <c r="A356">
        <v>355</v>
      </c>
      <c r="B356" t="s">
        <v>773</v>
      </c>
      <c r="C356" t="s">
        <v>32</v>
      </c>
      <c r="D356" s="1" t="s">
        <v>1373</v>
      </c>
      <c r="E356" t="s">
        <v>1374</v>
      </c>
      <c r="F356" t="s">
        <v>1375</v>
      </c>
    </row>
    <row r="357" spans="1:6" x14ac:dyDescent="0.3">
      <c r="A357">
        <v>356</v>
      </c>
      <c r="B357" t="s">
        <v>1376</v>
      </c>
      <c r="C357" t="s">
        <v>7</v>
      </c>
      <c r="D357" s="1" t="s">
        <v>1377</v>
      </c>
      <c r="E357" t="s">
        <v>1378</v>
      </c>
      <c r="F357" t="s">
        <v>1379</v>
      </c>
    </row>
    <row r="358" spans="1:6" x14ac:dyDescent="0.3">
      <c r="A358">
        <v>357</v>
      </c>
      <c r="B358" t="s">
        <v>1380</v>
      </c>
      <c r="C358" t="s">
        <v>7</v>
      </c>
      <c r="D358" s="1" t="s">
        <v>1381</v>
      </c>
      <c r="E358" t="s">
        <v>1382</v>
      </c>
      <c r="F358" t="s">
        <v>1383</v>
      </c>
    </row>
    <row r="359" spans="1:6" x14ac:dyDescent="0.3">
      <c r="A359">
        <v>358</v>
      </c>
      <c r="B359" t="s">
        <v>1384</v>
      </c>
      <c r="C359" t="s">
        <v>32</v>
      </c>
      <c r="D359" s="1" t="s">
        <v>1385</v>
      </c>
      <c r="E359" t="s">
        <v>1386</v>
      </c>
      <c r="F359" t="s">
        <v>1387</v>
      </c>
    </row>
    <row r="360" spans="1:6" x14ac:dyDescent="0.3">
      <c r="A360">
        <v>359</v>
      </c>
      <c r="B360" t="s">
        <v>1388</v>
      </c>
      <c r="C360" t="s">
        <v>45</v>
      </c>
      <c r="D360" s="1" t="s">
        <v>1389</v>
      </c>
      <c r="E360" t="s">
        <v>1390</v>
      </c>
      <c r="F360" t="s">
        <v>1391</v>
      </c>
    </row>
    <row r="361" spans="1:6" x14ac:dyDescent="0.3">
      <c r="A361">
        <v>360</v>
      </c>
      <c r="B361" t="s">
        <v>1392</v>
      </c>
      <c r="C361" t="s">
        <v>45</v>
      </c>
      <c r="D361" s="1" t="s">
        <v>1393</v>
      </c>
      <c r="E361" t="s">
        <v>1394</v>
      </c>
      <c r="F361" t="s">
        <v>1395</v>
      </c>
    </row>
    <row r="362" spans="1:6" x14ac:dyDescent="0.3">
      <c r="A362">
        <v>361</v>
      </c>
      <c r="B362" t="s">
        <v>1396</v>
      </c>
      <c r="C362" t="s">
        <v>7</v>
      </c>
      <c r="D362" s="1" t="s">
        <v>1397</v>
      </c>
      <c r="E362" t="s">
        <v>1398</v>
      </c>
      <c r="F362" t="s">
        <v>1399</v>
      </c>
    </row>
    <row r="363" spans="1:6" x14ac:dyDescent="0.3">
      <c r="A363">
        <v>362</v>
      </c>
      <c r="B363" t="s">
        <v>1400</v>
      </c>
      <c r="C363" t="s">
        <v>11</v>
      </c>
      <c r="D363" s="1" t="s">
        <v>1401</v>
      </c>
      <c r="E363" t="s">
        <v>1402</v>
      </c>
      <c r="F363" t="s">
        <v>1403</v>
      </c>
    </row>
    <row r="364" spans="1:6" x14ac:dyDescent="0.3">
      <c r="A364">
        <v>363</v>
      </c>
      <c r="B364" t="s">
        <v>1404</v>
      </c>
      <c r="C364" t="s">
        <v>45</v>
      </c>
      <c r="D364" s="1" t="s">
        <v>1405</v>
      </c>
      <c r="E364" t="s">
        <v>1406</v>
      </c>
      <c r="F364" t="s">
        <v>1407</v>
      </c>
    </row>
    <row r="365" spans="1:6" x14ac:dyDescent="0.3">
      <c r="A365">
        <v>364</v>
      </c>
      <c r="B365" t="s">
        <v>1408</v>
      </c>
      <c r="C365" t="s">
        <v>11</v>
      </c>
      <c r="D365" s="1" t="s">
        <v>1409</v>
      </c>
      <c r="E365" t="s">
        <v>1410</v>
      </c>
      <c r="F365">
        <f>1-880-332-3175</f>
        <v>-4386</v>
      </c>
    </row>
    <row r="366" spans="1:6" x14ac:dyDescent="0.3">
      <c r="A366">
        <v>365</v>
      </c>
      <c r="B366" t="s">
        <v>1411</v>
      </c>
      <c r="C366" t="s">
        <v>32</v>
      </c>
      <c r="D366" s="1" t="s">
        <v>1412</v>
      </c>
      <c r="E366" t="s">
        <v>1413</v>
      </c>
      <c r="F366" t="s">
        <v>1414</v>
      </c>
    </row>
    <row r="367" spans="1:6" x14ac:dyDescent="0.3">
      <c r="A367">
        <v>366</v>
      </c>
      <c r="B367" t="s">
        <v>1415</v>
      </c>
      <c r="C367" t="s">
        <v>32</v>
      </c>
      <c r="D367" s="1" t="s">
        <v>1416</v>
      </c>
      <c r="E367" t="s">
        <v>1417</v>
      </c>
      <c r="F367">
        <v>4957265323</v>
      </c>
    </row>
    <row r="368" spans="1:6" x14ac:dyDescent="0.3">
      <c r="A368">
        <v>367</v>
      </c>
      <c r="B368" t="s">
        <v>1418</v>
      </c>
      <c r="C368" t="s">
        <v>11</v>
      </c>
      <c r="D368" s="1" t="s">
        <v>1419</v>
      </c>
      <c r="E368" t="s">
        <v>1420</v>
      </c>
      <c r="F368" t="s">
        <v>1421</v>
      </c>
    </row>
    <row r="369" spans="1:6" x14ac:dyDescent="0.3">
      <c r="A369">
        <v>368</v>
      </c>
      <c r="B369" t="s">
        <v>1422</v>
      </c>
      <c r="C369" t="s">
        <v>11</v>
      </c>
      <c r="D369" s="1" t="s">
        <v>1423</v>
      </c>
      <c r="E369" t="s">
        <v>1424</v>
      </c>
      <c r="F369" t="s">
        <v>1425</v>
      </c>
    </row>
    <row r="370" spans="1:6" x14ac:dyDescent="0.3">
      <c r="A370">
        <v>369</v>
      </c>
      <c r="B370" t="s">
        <v>1426</v>
      </c>
      <c r="C370" t="s">
        <v>45</v>
      </c>
      <c r="D370" s="1" t="s">
        <v>1427</v>
      </c>
      <c r="E370" t="s">
        <v>1428</v>
      </c>
      <c r="F370" t="s">
        <v>1429</v>
      </c>
    </row>
    <row r="371" spans="1:6" x14ac:dyDescent="0.3">
      <c r="A371">
        <v>370</v>
      </c>
      <c r="B371" t="s">
        <v>1430</v>
      </c>
      <c r="C371" t="s">
        <v>7</v>
      </c>
      <c r="D371" s="1" t="s">
        <v>1431</v>
      </c>
      <c r="E371" t="s">
        <v>1432</v>
      </c>
      <c r="F371">
        <f>1-572-551-8798</f>
        <v>-9920</v>
      </c>
    </row>
    <row r="372" spans="1:6" x14ac:dyDescent="0.3">
      <c r="A372">
        <v>371</v>
      </c>
      <c r="B372" t="s">
        <v>1433</v>
      </c>
      <c r="C372" t="s">
        <v>11</v>
      </c>
      <c r="D372" s="1" t="s">
        <v>1434</v>
      </c>
      <c r="E372" t="s">
        <v>1435</v>
      </c>
      <c r="F372" t="s">
        <v>1436</v>
      </c>
    </row>
    <row r="373" spans="1:6" x14ac:dyDescent="0.3">
      <c r="A373">
        <v>372</v>
      </c>
      <c r="B373" t="s">
        <v>1437</v>
      </c>
      <c r="C373" t="s">
        <v>32</v>
      </c>
      <c r="D373" s="1" t="s">
        <v>1438</v>
      </c>
      <c r="E373" t="s">
        <v>1439</v>
      </c>
      <c r="F373" t="s">
        <v>1440</v>
      </c>
    </row>
    <row r="374" spans="1:6" x14ac:dyDescent="0.3">
      <c r="A374">
        <v>373</v>
      </c>
      <c r="B374" t="s">
        <v>1441</v>
      </c>
      <c r="C374" t="s">
        <v>11</v>
      </c>
      <c r="D374" s="1" t="s">
        <v>1442</v>
      </c>
      <c r="E374" t="s">
        <v>1443</v>
      </c>
      <c r="F374" t="s">
        <v>1444</v>
      </c>
    </row>
    <row r="375" spans="1:6" x14ac:dyDescent="0.3">
      <c r="A375">
        <v>374</v>
      </c>
      <c r="B375" t="s">
        <v>1445</v>
      </c>
      <c r="C375" t="s">
        <v>11</v>
      </c>
      <c r="D375" s="1" t="s">
        <v>1446</v>
      </c>
      <c r="E375" t="s">
        <v>1447</v>
      </c>
      <c r="F375" t="s">
        <v>1448</v>
      </c>
    </row>
    <row r="376" spans="1:6" x14ac:dyDescent="0.3">
      <c r="A376">
        <v>375</v>
      </c>
      <c r="B376" t="s">
        <v>1449</v>
      </c>
      <c r="C376" t="s">
        <v>7</v>
      </c>
      <c r="D376" s="1" t="s">
        <v>1450</v>
      </c>
      <c r="E376" t="s">
        <v>1451</v>
      </c>
      <c r="F376" t="s">
        <v>1452</v>
      </c>
    </row>
    <row r="377" spans="1:6" x14ac:dyDescent="0.3">
      <c r="A377">
        <v>376</v>
      </c>
      <c r="B377" t="s">
        <v>1453</v>
      </c>
      <c r="C377" t="s">
        <v>45</v>
      </c>
      <c r="D377" s="1" t="s">
        <v>1454</v>
      </c>
      <c r="E377" t="s">
        <v>1455</v>
      </c>
      <c r="F377" t="s">
        <v>1456</v>
      </c>
    </row>
    <row r="378" spans="1:6" x14ac:dyDescent="0.3">
      <c r="A378">
        <v>377</v>
      </c>
      <c r="B378" t="s">
        <v>1457</v>
      </c>
      <c r="C378" t="s">
        <v>45</v>
      </c>
      <c r="D378" s="1" t="s">
        <v>1458</v>
      </c>
      <c r="E378" t="s">
        <v>1459</v>
      </c>
      <c r="F378" t="s">
        <v>1460</v>
      </c>
    </row>
    <row r="379" spans="1:6" x14ac:dyDescent="0.3">
      <c r="A379">
        <v>378</v>
      </c>
      <c r="B379" t="s">
        <v>1461</v>
      </c>
      <c r="C379" t="s">
        <v>7</v>
      </c>
      <c r="D379" s="1" t="s">
        <v>1462</v>
      </c>
      <c r="E379" t="s">
        <v>1463</v>
      </c>
      <c r="F379">
        <v>7045041352</v>
      </c>
    </row>
    <row r="380" spans="1:6" x14ac:dyDescent="0.3">
      <c r="A380">
        <v>379</v>
      </c>
      <c r="B380" t="s">
        <v>1464</v>
      </c>
      <c r="C380" t="s">
        <v>7</v>
      </c>
      <c r="D380" s="1" t="s">
        <v>1465</v>
      </c>
      <c r="E380" t="s">
        <v>1466</v>
      </c>
      <c r="F380" t="s">
        <v>1467</v>
      </c>
    </row>
    <row r="381" spans="1:6" x14ac:dyDescent="0.3">
      <c r="A381">
        <v>380</v>
      </c>
      <c r="B381" t="s">
        <v>1468</v>
      </c>
      <c r="C381" t="s">
        <v>32</v>
      </c>
      <c r="D381" s="1" t="s">
        <v>1469</v>
      </c>
      <c r="E381" t="s">
        <v>1470</v>
      </c>
      <c r="F381" t="s">
        <v>1471</v>
      </c>
    </row>
    <row r="382" spans="1:6" x14ac:dyDescent="0.3">
      <c r="A382">
        <v>381</v>
      </c>
      <c r="B382" t="s">
        <v>1472</v>
      </c>
      <c r="C382" t="s">
        <v>7</v>
      </c>
      <c r="D382" s="1" t="s">
        <v>1473</v>
      </c>
      <c r="E382" t="s">
        <v>1474</v>
      </c>
      <c r="F382" t="s">
        <v>1475</v>
      </c>
    </row>
    <row r="383" spans="1:6" x14ac:dyDescent="0.3">
      <c r="A383">
        <v>382</v>
      </c>
      <c r="B383" t="s">
        <v>1476</v>
      </c>
      <c r="C383" t="s">
        <v>32</v>
      </c>
      <c r="D383" s="1" t="s">
        <v>1477</v>
      </c>
      <c r="E383" t="s">
        <v>1478</v>
      </c>
      <c r="F383">
        <f>1-87-761-6513</f>
        <v>-7360</v>
      </c>
    </row>
    <row r="384" spans="1:6" x14ac:dyDescent="0.3">
      <c r="A384">
        <v>383</v>
      </c>
      <c r="B384" t="s">
        <v>1479</v>
      </c>
      <c r="C384" t="s">
        <v>7</v>
      </c>
      <c r="D384" s="1" t="s">
        <v>1480</v>
      </c>
      <c r="E384" t="s">
        <v>1481</v>
      </c>
      <c r="F384">
        <v>2330894330</v>
      </c>
    </row>
    <row r="385" spans="1:6" x14ac:dyDescent="0.3">
      <c r="A385">
        <v>384</v>
      </c>
      <c r="B385" t="s">
        <v>1482</v>
      </c>
      <c r="C385" t="s">
        <v>11</v>
      </c>
      <c r="D385" s="1" t="s">
        <v>1483</v>
      </c>
      <c r="E385" t="s">
        <v>1484</v>
      </c>
      <c r="F385" t="s">
        <v>1485</v>
      </c>
    </row>
    <row r="386" spans="1:6" x14ac:dyDescent="0.3">
      <c r="A386">
        <v>385</v>
      </c>
      <c r="B386" t="s">
        <v>1486</v>
      </c>
      <c r="C386" t="s">
        <v>45</v>
      </c>
      <c r="D386" s="1" t="s">
        <v>1487</v>
      </c>
      <c r="E386" t="s">
        <v>1488</v>
      </c>
      <c r="F386" t="s">
        <v>1489</v>
      </c>
    </row>
    <row r="387" spans="1:6" x14ac:dyDescent="0.3">
      <c r="A387">
        <v>386</v>
      </c>
      <c r="B387" t="s">
        <v>1490</v>
      </c>
      <c r="C387" t="s">
        <v>11</v>
      </c>
      <c r="D387" s="1" t="s">
        <v>1491</v>
      </c>
      <c r="E387" t="s">
        <v>1492</v>
      </c>
      <c r="F387" t="s">
        <v>1493</v>
      </c>
    </row>
    <row r="388" spans="1:6" x14ac:dyDescent="0.3">
      <c r="A388">
        <v>387</v>
      </c>
      <c r="B388" t="s">
        <v>1494</v>
      </c>
      <c r="C388" t="s">
        <v>11</v>
      </c>
      <c r="D388" s="1" t="s">
        <v>1495</v>
      </c>
      <c r="E388" t="s">
        <v>1496</v>
      </c>
      <c r="F388" t="s">
        <v>1497</v>
      </c>
    </row>
    <row r="389" spans="1:6" x14ac:dyDescent="0.3">
      <c r="A389">
        <v>388</v>
      </c>
      <c r="B389" t="s">
        <v>1498</v>
      </c>
      <c r="C389" t="s">
        <v>7</v>
      </c>
      <c r="D389" s="1" t="s">
        <v>1499</v>
      </c>
      <c r="E389" t="s">
        <v>1500</v>
      </c>
      <c r="F389">
        <f>1-832-244-5987</f>
        <v>-7062</v>
      </c>
    </row>
    <row r="390" spans="1:6" x14ac:dyDescent="0.3">
      <c r="A390">
        <v>389</v>
      </c>
      <c r="B390" t="s">
        <v>1501</v>
      </c>
      <c r="C390" t="s">
        <v>11</v>
      </c>
      <c r="D390" s="1" t="s">
        <v>1502</v>
      </c>
      <c r="E390" t="s">
        <v>1503</v>
      </c>
      <c r="F390" t="s">
        <v>1504</v>
      </c>
    </row>
    <row r="391" spans="1:6" x14ac:dyDescent="0.3">
      <c r="A391">
        <v>390</v>
      </c>
      <c r="B391" t="s">
        <v>1505</v>
      </c>
      <c r="C391" t="s">
        <v>45</v>
      </c>
      <c r="D391" s="1" t="s">
        <v>1506</v>
      </c>
      <c r="E391" t="s">
        <v>1507</v>
      </c>
      <c r="F391" t="s">
        <v>1508</v>
      </c>
    </row>
    <row r="392" spans="1:6" x14ac:dyDescent="0.3">
      <c r="A392">
        <v>391</v>
      </c>
      <c r="B392" t="s">
        <v>1509</v>
      </c>
      <c r="C392" t="s">
        <v>7</v>
      </c>
      <c r="D392" s="1" t="s">
        <v>1510</v>
      </c>
      <c r="E392" t="s">
        <v>1511</v>
      </c>
      <c r="F392" t="s">
        <v>1512</v>
      </c>
    </row>
    <row r="393" spans="1:6" x14ac:dyDescent="0.3">
      <c r="A393">
        <v>392</v>
      </c>
      <c r="B393" t="s">
        <v>277</v>
      </c>
      <c r="C393" t="s">
        <v>32</v>
      </c>
      <c r="D393" s="1" t="s">
        <v>1513</v>
      </c>
      <c r="E393" t="s">
        <v>1514</v>
      </c>
      <c r="F393" t="s">
        <v>1515</v>
      </c>
    </row>
    <row r="394" spans="1:6" x14ac:dyDescent="0.3">
      <c r="A394">
        <v>393</v>
      </c>
      <c r="B394" t="s">
        <v>1516</v>
      </c>
      <c r="C394" t="s">
        <v>32</v>
      </c>
      <c r="D394" s="1" t="s">
        <v>1517</v>
      </c>
      <c r="E394" t="s">
        <v>1518</v>
      </c>
      <c r="F394" t="s">
        <v>1519</v>
      </c>
    </row>
    <row r="395" spans="1:6" x14ac:dyDescent="0.3">
      <c r="A395">
        <v>394</v>
      </c>
      <c r="B395" t="s">
        <v>1520</v>
      </c>
      <c r="C395" t="s">
        <v>45</v>
      </c>
      <c r="D395" s="1" t="s">
        <v>1521</v>
      </c>
      <c r="E395" t="s">
        <v>1522</v>
      </c>
      <c r="F395" t="s">
        <v>1523</v>
      </c>
    </row>
    <row r="396" spans="1:6" x14ac:dyDescent="0.3">
      <c r="A396">
        <v>395</v>
      </c>
      <c r="B396" t="s">
        <v>1524</v>
      </c>
      <c r="C396" t="s">
        <v>11</v>
      </c>
      <c r="D396" s="1" t="s">
        <v>1525</v>
      </c>
      <c r="E396" t="s">
        <v>1526</v>
      </c>
      <c r="F396">
        <v>4816317562</v>
      </c>
    </row>
    <row r="397" spans="1:6" x14ac:dyDescent="0.3">
      <c r="A397">
        <v>396</v>
      </c>
      <c r="B397" t="s">
        <v>1527</v>
      </c>
      <c r="C397" t="s">
        <v>45</v>
      </c>
      <c r="D397" s="1" t="s">
        <v>1528</v>
      </c>
      <c r="E397" t="s">
        <v>1529</v>
      </c>
      <c r="F397" t="s">
        <v>1530</v>
      </c>
    </row>
    <row r="398" spans="1:6" x14ac:dyDescent="0.3">
      <c r="A398">
        <v>397</v>
      </c>
      <c r="B398" t="s">
        <v>1531</v>
      </c>
      <c r="C398" t="s">
        <v>45</v>
      </c>
      <c r="D398" s="1" t="s">
        <v>1532</v>
      </c>
      <c r="E398" t="s">
        <v>1533</v>
      </c>
      <c r="F398" t="s">
        <v>1534</v>
      </c>
    </row>
    <row r="399" spans="1:6" x14ac:dyDescent="0.3">
      <c r="A399">
        <v>398</v>
      </c>
      <c r="B399" t="s">
        <v>1535</v>
      </c>
      <c r="C399" t="s">
        <v>7</v>
      </c>
      <c r="D399" s="1" t="s">
        <v>1536</v>
      </c>
      <c r="E399" t="s">
        <v>1537</v>
      </c>
      <c r="F399" t="s">
        <v>1538</v>
      </c>
    </row>
    <row r="400" spans="1:6" x14ac:dyDescent="0.3">
      <c r="A400">
        <v>399</v>
      </c>
      <c r="B400" t="s">
        <v>1539</v>
      </c>
      <c r="C400" t="s">
        <v>11</v>
      </c>
      <c r="D400" s="1" t="s">
        <v>1540</v>
      </c>
      <c r="E400" t="s">
        <v>1541</v>
      </c>
      <c r="F400" t="s">
        <v>1542</v>
      </c>
    </row>
    <row r="401" spans="1:6" x14ac:dyDescent="0.3">
      <c r="A401">
        <v>400</v>
      </c>
      <c r="B401" t="s">
        <v>1543</v>
      </c>
      <c r="C401" t="s">
        <v>32</v>
      </c>
      <c r="D401" s="1" t="s">
        <v>1544</v>
      </c>
      <c r="E401" t="s">
        <v>1545</v>
      </c>
      <c r="F401" t="s">
        <v>1546</v>
      </c>
    </row>
    <row r="402" spans="1:6" x14ac:dyDescent="0.3">
      <c r="A402">
        <v>401</v>
      </c>
      <c r="B402" t="s">
        <v>1547</v>
      </c>
      <c r="C402" t="s">
        <v>32</v>
      </c>
      <c r="D402" s="1" t="s">
        <v>1548</v>
      </c>
      <c r="E402" t="s">
        <v>1549</v>
      </c>
      <c r="F402" t="s">
        <v>1550</v>
      </c>
    </row>
    <row r="403" spans="1:6" x14ac:dyDescent="0.3">
      <c r="A403">
        <v>402</v>
      </c>
      <c r="B403" t="s">
        <v>1551</v>
      </c>
      <c r="C403" t="s">
        <v>11</v>
      </c>
      <c r="D403" s="1" t="s">
        <v>1552</v>
      </c>
      <c r="E403" t="s">
        <v>1553</v>
      </c>
      <c r="F403" t="s">
        <v>1554</v>
      </c>
    </row>
    <row r="404" spans="1:6" x14ac:dyDescent="0.3">
      <c r="A404">
        <v>403</v>
      </c>
      <c r="B404" t="s">
        <v>1555</v>
      </c>
      <c r="C404" t="s">
        <v>11</v>
      </c>
      <c r="D404" s="1" t="s">
        <v>1556</v>
      </c>
      <c r="E404" t="s">
        <v>1557</v>
      </c>
      <c r="F404" t="s">
        <v>1558</v>
      </c>
    </row>
    <row r="405" spans="1:6" x14ac:dyDescent="0.3">
      <c r="A405">
        <v>404</v>
      </c>
      <c r="B405" t="s">
        <v>1559</v>
      </c>
      <c r="C405" t="s">
        <v>32</v>
      </c>
      <c r="D405" s="1" t="s">
        <v>1560</v>
      </c>
      <c r="E405" t="s">
        <v>1561</v>
      </c>
      <c r="F405">
        <v>3466470514</v>
      </c>
    </row>
    <row r="406" spans="1:6" x14ac:dyDescent="0.3">
      <c r="A406">
        <v>405</v>
      </c>
      <c r="B406" t="s">
        <v>1562</v>
      </c>
      <c r="C406" t="s">
        <v>7</v>
      </c>
      <c r="D406" s="1" t="s">
        <v>1563</v>
      </c>
      <c r="E406" t="s">
        <v>1564</v>
      </c>
      <c r="F406" t="s">
        <v>1565</v>
      </c>
    </row>
    <row r="407" spans="1:6" x14ac:dyDescent="0.3">
      <c r="A407">
        <v>406</v>
      </c>
      <c r="B407" t="s">
        <v>1566</v>
      </c>
      <c r="C407" t="s">
        <v>32</v>
      </c>
      <c r="D407" s="1" t="s">
        <v>1567</v>
      </c>
      <c r="E407" t="s">
        <v>1568</v>
      </c>
      <c r="F407" t="s">
        <v>1569</v>
      </c>
    </row>
    <row r="408" spans="1:6" x14ac:dyDescent="0.3">
      <c r="A408">
        <v>407</v>
      </c>
      <c r="B408" t="s">
        <v>1570</v>
      </c>
      <c r="C408" t="s">
        <v>32</v>
      </c>
      <c r="D408" s="1" t="s">
        <v>1571</v>
      </c>
      <c r="E408" t="s">
        <v>1572</v>
      </c>
      <c r="F408" t="s">
        <v>1573</v>
      </c>
    </row>
    <row r="409" spans="1:6" x14ac:dyDescent="0.3">
      <c r="A409">
        <v>408</v>
      </c>
      <c r="B409" t="s">
        <v>1574</v>
      </c>
      <c r="C409" t="s">
        <v>7</v>
      </c>
      <c r="D409" s="1" t="s">
        <v>1575</v>
      </c>
      <c r="E409" t="s">
        <v>1576</v>
      </c>
      <c r="F409">
        <v>5027424022</v>
      </c>
    </row>
    <row r="410" spans="1:6" x14ac:dyDescent="0.3">
      <c r="A410">
        <v>409</v>
      </c>
      <c r="B410" t="s">
        <v>1577</v>
      </c>
      <c r="C410" t="s">
        <v>11</v>
      </c>
      <c r="D410" s="1" t="s">
        <v>1578</v>
      </c>
      <c r="E410" t="s">
        <v>1579</v>
      </c>
      <c r="F410" t="s">
        <v>1580</v>
      </c>
    </row>
    <row r="411" spans="1:6" x14ac:dyDescent="0.3">
      <c r="A411">
        <v>410</v>
      </c>
      <c r="B411" t="s">
        <v>1581</v>
      </c>
      <c r="C411" t="s">
        <v>45</v>
      </c>
      <c r="D411" s="1" t="s">
        <v>1582</v>
      </c>
      <c r="E411" t="s">
        <v>1583</v>
      </c>
      <c r="F411" t="s">
        <v>1584</v>
      </c>
    </row>
    <row r="412" spans="1:6" x14ac:dyDescent="0.3">
      <c r="A412">
        <v>411</v>
      </c>
      <c r="B412" t="s">
        <v>1585</v>
      </c>
      <c r="C412" t="s">
        <v>45</v>
      </c>
      <c r="D412" s="1" t="s">
        <v>1586</v>
      </c>
      <c r="E412" t="s">
        <v>1587</v>
      </c>
      <c r="F412" t="s">
        <v>1588</v>
      </c>
    </row>
    <row r="413" spans="1:6" x14ac:dyDescent="0.3">
      <c r="A413">
        <v>412</v>
      </c>
      <c r="B413" t="s">
        <v>1589</v>
      </c>
      <c r="C413" t="s">
        <v>11</v>
      </c>
      <c r="D413" s="1" t="s">
        <v>1590</v>
      </c>
      <c r="E413" t="s">
        <v>1591</v>
      </c>
      <c r="F413" t="s">
        <v>1592</v>
      </c>
    </row>
    <row r="414" spans="1:6" x14ac:dyDescent="0.3">
      <c r="A414">
        <v>413</v>
      </c>
      <c r="B414" t="s">
        <v>1593</v>
      </c>
      <c r="C414" t="s">
        <v>45</v>
      </c>
      <c r="D414" s="1" t="s">
        <v>1594</v>
      </c>
      <c r="E414" t="s">
        <v>1595</v>
      </c>
      <c r="F414">
        <v>9207424674</v>
      </c>
    </row>
    <row r="415" spans="1:6" x14ac:dyDescent="0.3">
      <c r="A415">
        <v>414</v>
      </c>
      <c r="B415" t="s">
        <v>1596</v>
      </c>
      <c r="C415" t="s">
        <v>7</v>
      </c>
      <c r="D415" s="1" t="s">
        <v>1597</v>
      </c>
      <c r="E415" t="s">
        <v>1598</v>
      </c>
      <c r="F415" t="s">
        <v>1599</v>
      </c>
    </row>
    <row r="416" spans="1:6" x14ac:dyDescent="0.3">
      <c r="A416">
        <v>415</v>
      </c>
      <c r="B416" t="s">
        <v>1600</v>
      </c>
      <c r="C416" t="s">
        <v>7</v>
      </c>
      <c r="D416" s="1" t="s">
        <v>1601</v>
      </c>
      <c r="E416" t="s">
        <v>1602</v>
      </c>
      <c r="F416">
        <v>397863480</v>
      </c>
    </row>
    <row r="417" spans="1:6" x14ac:dyDescent="0.3">
      <c r="A417">
        <v>416</v>
      </c>
      <c r="B417" t="s">
        <v>1603</v>
      </c>
      <c r="C417" t="s">
        <v>7</v>
      </c>
      <c r="D417" s="1" t="s">
        <v>1604</v>
      </c>
      <c r="E417" t="s">
        <v>1605</v>
      </c>
      <c r="F417" t="s">
        <v>1606</v>
      </c>
    </row>
    <row r="418" spans="1:6" x14ac:dyDescent="0.3">
      <c r="A418">
        <v>417</v>
      </c>
      <c r="B418" t="s">
        <v>1607</v>
      </c>
      <c r="C418" t="s">
        <v>32</v>
      </c>
      <c r="D418" s="1" t="s">
        <v>1608</v>
      </c>
      <c r="E418" t="s">
        <v>1609</v>
      </c>
      <c r="F418" t="s">
        <v>1610</v>
      </c>
    </row>
    <row r="419" spans="1:6" x14ac:dyDescent="0.3">
      <c r="A419">
        <v>418</v>
      </c>
      <c r="B419" t="s">
        <v>1611</v>
      </c>
      <c r="C419" t="s">
        <v>32</v>
      </c>
      <c r="D419" s="1" t="s">
        <v>1612</v>
      </c>
      <c r="E419" t="s">
        <v>1613</v>
      </c>
      <c r="F419" t="s">
        <v>1614</v>
      </c>
    </row>
    <row r="420" spans="1:6" x14ac:dyDescent="0.3">
      <c r="A420">
        <v>419</v>
      </c>
      <c r="B420" t="s">
        <v>1615</v>
      </c>
      <c r="C420" t="s">
        <v>7</v>
      </c>
      <c r="D420" s="1" t="s">
        <v>1616</v>
      </c>
      <c r="E420" t="s">
        <v>1617</v>
      </c>
      <c r="F420" t="s">
        <v>1618</v>
      </c>
    </row>
    <row r="421" spans="1:6" x14ac:dyDescent="0.3">
      <c r="A421">
        <v>420</v>
      </c>
      <c r="B421" t="s">
        <v>1619</v>
      </c>
      <c r="C421" t="s">
        <v>45</v>
      </c>
      <c r="D421" s="1" t="s">
        <v>1620</v>
      </c>
      <c r="E421" t="s">
        <v>1621</v>
      </c>
      <c r="F421" t="s">
        <v>1622</v>
      </c>
    </row>
    <row r="422" spans="1:6" x14ac:dyDescent="0.3">
      <c r="A422">
        <v>421</v>
      </c>
      <c r="B422" t="s">
        <v>1623</v>
      </c>
      <c r="C422" t="s">
        <v>7</v>
      </c>
      <c r="D422" s="1" t="s">
        <v>1624</v>
      </c>
      <c r="E422" t="s">
        <v>1625</v>
      </c>
      <c r="F422" t="s">
        <v>1626</v>
      </c>
    </row>
    <row r="423" spans="1:6" x14ac:dyDescent="0.3">
      <c r="A423">
        <v>422</v>
      </c>
      <c r="B423" t="s">
        <v>1627</v>
      </c>
      <c r="C423" t="s">
        <v>45</v>
      </c>
      <c r="D423" s="1" t="s">
        <v>1628</v>
      </c>
      <c r="E423" t="s">
        <v>1629</v>
      </c>
      <c r="F423" t="s">
        <v>1630</v>
      </c>
    </row>
    <row r="424" spans="1:6" x14ac:dyDescent="0.3">
      <c r="A424">
        <v>423</v>
      </c>
      <c r="B424" t="s">
        <v>1631</v>
      </c>
      <c r="C424" t="s">
        <v>32</v>
      </c>
      <c r="D424" s="1" t="s">
        <v>1632</v>
      </c>
      <c r="E424" t="s">
        <v>1633</v>
      </c>
      <c r="F424" t="s">
        <v>1634</v>
      </c>
    </row>
    <row r="425" spans="1:6" x14ac:dyDescent="0.3">
      <c r="A425">
        <v>424</v>
      </c>
      <c r="B425" t="s">
        <v>1635</v>
      </c>
      <c r="C425" t="s">
        <v>11</v>
      </c>
      <c r="D425" s="1" t="s">
        <v>1636</v>
      </c>
      <c r="E425" t="s">
        <v>1637</v>
      </c>
      <c r="F425" t="s">
        <v>1638</v>
      </c>
    </row>
    <row r="426" spans="1:6" x14ac:dyDescent="0.3">
      <c r="A426">
        <v>425</v>
      </c>
      <c r="B426" t="s">
        <v>1639</v>
      </c>
      <c r="C426" t="s">
        <v>32</v>
      </c>
      <c r="D426" s="1" t="s">
        <v>1640</v>
      </c>
      <c r="E426" t="s">
        <v>1641</v>
      </c>
      <c r="F426" t="s">
        <v>1642</v>
      </c>
    </row>
    <row r="427" spans="1:6" x14ac:dyDescent="0.3">
      <c r="A427">
        <v>426</v>
      </c>
      <c r="B427" t="s">
        <v>1643</v>
      </c>
      <c r="C427" t="s">
        <v>45</v>
      </c>
      <c r="D427" s="1" t="s">
        <v>1644</v>
      </c>
      <c r="E427" t="s">
        <v>1645</v>
      </c>
      <c r="F427" t="s">
        <v>1646</v>
      </c>
    </row>
    <row r="428" spans="1:6" x14ac:dyDescent="0.3">
      <c r="A428">
        <v>427</v>
      </c>
      <c r="B428" t="s">
        <v>1647</v>
      </c>
      <c r="C428" t="s">
        <v>11</v>
      </c>
      <c r="D428" s="1" t="s">
        <v>1648</v>
      </c>
      <c r="E428" t="s">
        <v>1649</v>
      </c>
      <c r="F428" t="s">
        <v>1650</v>
      </c>
    </row>
    <row r="429" spans="1:6" x14ac:dyDescent="0.3">
      <c r="A429">
        <v>428</v>
      </c>
      <c r="B429" t="s">
        <v>1651</v>
      </c>
      <c r="C429" t="s">
        <v>32</v>
      </c>
      <c r="D429" s="1" t="s">
        <v>1652</v>
      </c>
      <c r="E429" t="s">
        <v>1653</v>
      </c>
      <c r="F429" t="s">
        <v>1654</v>
      </c>
    </row>
    <row r="430" spans="1:6" x14ac:dyDescent="0.3">
      <c r="A430">
        <v>429</v>
      </c>
      <c r="B430" t="s">
        <v>1655</v>
      </c>
      <c r="C430" t="s">
        <v>11</v>
      </c>
      <c r="D430" s="1" t="s">
        <v>1656</v>
      </c>
      <c r="E430" t="s">
        <v>1657</v>
      </c>
      <c r="F430" t="s">
        <v>1658</v>
      </c>
    </row>
    <row r="431" spans="1:6" x14ac:dyDescent="0.3">
      <c r="A431">
        <v>430</v>
      </c>
      <c r="B431" t="s">
        <v>1659</v>
      </c>
      <c r="C431" t="s">
        <v>45</v>
      </c>
      <c r="D431" s="1" t="s">
        <v>1660</v>
      </c>
      <c r="E431" t="s">
        <v>1661</v>
      </c>
      <c r="F431">
        <v>4838442985</v>
      </c>
    </row>
    <row r="432" spans="1:6" x14ac:dyDescent="0.3">
      <c r="A432">
        <v>431</v>
      </c>
      <c r="B432" t="s">
        <v>1662</v>
      </c>
      <c r="C432" t="s">
        <v>11</v>
      </c>
      <c r="D432" s="1" t="s">
        <v>1663</v>
      </c>
      <c r="E432" t="s">
        <v>1664</v>
      </c>
      <c r="F432" t="s">
        <v>1665</v>
      </c>
    </row>
    <row r="433" spans="1:6" x14ac:dyDescent="0.3">
      <c r="A433">
        <v>432</v>
      </c>
      <c r="B433" t="s">
        <v>1666</v>
      </c>
      <c r="C433" t="s">
        <v>32</v>
      </c>
      <c r="D433" s="1" t="s">
        <v>1667</v>
      </c>
      <c r="E433" t="s">
        <v>1668</v>
      </c>
      <c r="F433" t="s">
        <v>1669</v>
      </c>
    </row>
    <row r="434" spans="1:6" x14ac:dyDescent="0.3">
      <c r="A434">
        <v>433</v>
      </c>
      <c r="B434" t="s">
        <v>1670</v>
      </c>
      <c r="C434" t="s">
        <v>11</v>
      </c>
      <c r="D434" s="1" t="s">
        <v>1671</v>
      </c>
      <c r="E434" t="s">
        <v>1672</v>
      </c>
      <c r="F434">
        <v>4451031863</v>
      </c>
    </row>
    <row r="435" spans="1:6" x14ac:dyDescent="0.3">
      <c r="A435">
        <v>434</v>
      </c>
      <c r="B435" t="s">
        <v>1673</v>
      </c>
      <c r="C435" t="s">
        <v>32</v>
      </c>
      <c r="D435" s="1" t="s">
        <v>1674</v>
      </c>
      <c r="E435" t="s">
        <v>1675</v>
      </c>
      <c r="F435" t="s">
        <v>1676</v>
      </c>
    </row>
    <row r="436" spans="1:6" x14ac:dyDescent="0.3">
      <c r="A436">
        <v>435</v>
      </c>
      <c r="B436" t="s">
        <v>1677</v>
      </c>
      <c r="C436" t="s">
        <v>32</v>
      </c>
      <c r="D436" s="1" t="s">
        <v>1678</v>
      </c>
      <c r="E436" t="s">
        <v>1679</v>
      </c>
      <c r="F436" t="s">
        <v>1680</v>
      </c>
    </row>
    <row r="437" spans="1:6" x14ac:dyDescent="0.3">
      <c r="A437">
        <v>436</v>
      </c>
      <c r="B437" t="s">
        <v>69</v>
      </c>
      <c r="C437" t="s">
        <v>32</v>
      </c>
      <c r="D437" s="1" t="s">
        <v>1681</v>
      </c>
      <c r="E437" t="s">
        <v>1682</v>
      </c>
      <c r="F437" t="s">
        <v>1683</v>
      </c>
    </row>
    <row r="438" spans="1:6" x14ac:dyDescent="0.3">
      <c r="A438">
        <v>437</v>
      </c>
      <c r="B438" t="s">
        <v>1684</v>
      </c>
      <c r="C438" t="s">
        <v>45</v>
      </c>
      <c r="D438" s="1" t="s">
        <v>1685</v>
      </c>
      <c r="E438" t="s">
        <v>1686</v>
      </c>
      <c r="F438" t="s">
        <v>1687</v>
      </c>
    </row>
    <row r="439" spans="1:6" x14ac:dyDescent="0.3">
      <c r="A439">
        <v>438</v>
      </c>
      <c r="B439" t="s">
        <v>1688</v>
      </c>
      <c r="C439" t="s">
        <v>45</v>
      </c>
      <c r="D439" s="1" t="s">
        <v>1689</v>
      </c>
      <c r="E439" t="s">
        <v>1690</v>
      </c>
      <c r="F439" t="s">
        <v>1691</v>
      </c>
    </row>
    <row r="440" spans="1:6" x14ac:dyDescent="0.3">
      <c r="A440">
        <v>439</v>
      </c>
      <c r="B440" t="s">
        <v>1692</v>
      </c>
      <c r="C440" t="s">
        <v>32</v>
      </c>
      <c r="D440" s="1" t="s">
        <v>1693</v>
      </c>
      <c r="E440" t="s">
        <v>1694</v>
      </c>
      <c r="F440" t="s">
        <v>1695</v>
      </c>
    </row>
    <row r="441" spans="1:6" x14ac:dyDescent="0.3">
      <c r="A441">
        <v>440</v>
      </c>
      <c r="B441" t="s">
        <v>1696</v>
      </c>
      <c r="C441" t="s">
        <v>11</v>
      </c>
      <c r="D441" s="1" t="s">
        <v>1697</v>
      </c>
      <c r="E441" t="s">
        <v>1698</v>
      </c>
      <c r="F441" t="s">
        <v>1699</v>
      </c>
    </row>
    <row r="442" spans="1:6" x14ac:dyDescent="0.3">
      <c r="A442">
        <v>441</v>
      </c>
      <c r="B442" t="s">
        <v>1700</v>
      </c>
      <c r="C442" t="s">
        <v>7</v>
      </c>
      <c r="D442" s="1" t="s">
        <v>1701</v>
      </c>
      <c r="E442" t="s">
        <v>1702</v>
      </c>
      <c r="F442" t="s">
        <v>1703</v>
      </c>
    </row>
    <row r="443" spans="1:6" x14ac:dyDescent="0.3">
      <c r="A443">
        <v>442</v>
      </c>
      <c r="B443" t="s">
        <v>1704</v>
      </c>
      <c r="C443" t="s">
        <v>45</v>
      </c>
      <c r="D443" s="1" t="s">
        <v>1705</v>
      </c>
      <c r="E443" t="s">
        <v>1706</v>
      </c>
      <c r="F443" t="s">
        <v>1707</v>
      </c>
    </row>
    <row r="444" spans="1:6" x14ac:dyDescent="0.3">
      <c r="A444">
        <v>443</v>
      </c>
      <c r="B444" t="s">
        <v>1708</v>
      </c>
      <c r="C444" t="s">
        <v>32</v>
      </c>
      <c r="D444" s="1" t="s">
        <v>1709</v>
      </c>
      <c r="E444" t="s">
        <v>1710</v>
      </c>
      <c r="F444" t="s">
        <v>1711</v>
      </c>
    </row>
    <row r="445" spans="1:6" x14ac:dyDescent="0.3">
      <c r="A445">
        <v>444</v>
      </c>
      <c r="B445" t="s">
        <v>1712</v>
      </c>
      <c r="C445" t="s">
        <v>32</v>
      </c>
      <c r="D445" s="1" t="s">
        <v>1713</v>
      </c>
      <c r="E445" t="s">
        <v>1714</v>
      </c>
      <c r="F445" t="s">
        <v>1715</v>
      </c>
    </row>
    <row r="446" spans="1:6" x14ac:dyDescent="0.3">
      <c r="A446">
        <v>445</v>
      </c>
      <c r="B446" t="s">
        <v>1716</v>
      </c>
      <c r="C446" t="s">
        <v>11</v>
      </c>
      <c r="D446" s="1" t="s">
        <v>1717</v>
      </c>
      <c r="E446" t="s">
        <v>1718</v>
      </c>
      <c r="F446" t="s">
        <v>1719</v>
      </c>
    </row>
    <row r="447" spans="1:6" x14ac:dyDescent="0.3">
      <c r="A447">
        <v>446</v>
      </c>
      <c r="B447" t="s">
        <v>1720</v>
      </c>
      <c r="C447" t="s">
        <v>45</v>
      </c>
      <c r="D447" s="1" t="s">
        <v>1721</v>
      </c>
      <c r="E447" t="s">
        <v>1722</v>
      </c>
      <c r="F447" t="s">
        <v>1723</v>
      </c>
    </row>
    <row r="448" spans="1:6" x14ac:dyDescent="0.3">
      <c r="A448">
        <v>447</v>
      </c>
      <c r="B448" t="s">
        <v>1724</v>
      </c>
      <c r="C448" t="s">
        <v>7</v>
      </c>
      <c r="D448" s="1" t="s">
        <v>1725</v>
      </c>
      <c r="E448" t="s">
        <v>1726</v>
      </c>
      <c r="F448" t="s">
        <v>1727</v>
      </c>
    </row>
    <row r="449" spans="1:6" x14ac:dyDescent="0.3">
      <c r="A449">
        <v>448</v>
      </c>
      <c r="B449" t="s">
        <v>1728</v>
      </c>
      <c r="C449" t="s">
        <v>32</v>
      </c>
      <c r="D449" s="1" t="s">
        <v>1729</v>
      </c>
      <c r="E449" t="s">
        <v>1730</v>
      </c>
      <c r="F449" t="s">
        <v>1731</v>
      </c>
    </row>
    <row r="450" spans="1:6" x14ac:dyDescent="0.3">
      <c r="A450">
        <v>449</v>
      </c>
      <c r="B450" t="s">
        <v>1732</v>
      </c>
      <c r="C450" t="s">
        <v>45</v>
      </c>
      <c r="D450" s="1" t="s">
        <v>1733</v>
      </c>
      <c r="E450" t="s">
        <v>1734</v>
      </c>
      <c r="F450" t="s">
        <v>1735</v>
      </c>
    </row>
    <row r="451" spans="1:6" x14ac:dyDescent="0.3">
      <c r="A451">
        <v>450</v>
      </c>
      <c r="B451" t="s">
        <v>1736</v>
      </c>
      <c r="C451" t="s">
        <v>45</v>
      </c>
      <c r="D451" s="1" t="s">
        <v>1737</v>
      </c>
      <c r="E451" t="s">
        <v>1738</v>
      </c>
      <c r="F451" t="s">
        <v>1739</v>
      </c>
    </row>
    <row r="452" spans="1:6" x14ac:dyDescent="0.3">
      <c r="A452">
        <v>451</v>
      </c>
      <c r="B452" t="s">
        <v>1740</v>
      </c>
      <c r="C452" t="s">
        <v>11</v>
      </c>
      <c r="D452" s="1" t="s">
        <v>1741</v>
      </c>
      <c r="E452" t="s">
        <v>1742</v>
      </c>
      <c r="F452">
        <v>6627988559</v>
      </c>
    </row>
    <row r="453" spans="1:6" x14ac:dyDescent="0.3">
      <c r="A453">
        <v>452</v>
      </c>
      <c r="B453" t="s">
        <v>1743</v>
      </c>
      <c r="C453" t="s">
        <v>7</v>
      </c>
      <c r="D453" s="1" t="s">
        <v>1744</v>
      </c>
      <c r="E453" t="s">
        <v>1745</v>
      </c>
      <c r="F453" t="s">
        <v>1746</v>
      </c>
    </row>
    <row r="454" spans="1:6" x14ac:dyDescent="0.3">
      <c r="A454">
        <v>453</v>
      </c>
      <c r="B454" t="s">
        <v>1747</v>
      </c>
      <c r="C454" t="s">
        <v>11</v>
      </c>
      <c r="D454" s="1" t="s">
        <v>1748</v>
      </c>
      <c r="E454" t="s">
        <v>1749</v>
      </c>
      <c r="F454" t="s">
        <v>1750</v>
      </c>
    </row>
    <row r="455" spans="1:6" x14ac:dyDescent="0.3">
      <c r="A455">
        <v>454</v>
      </c>
      <c r="B455" t="s">
        <v>1751</v>
      </c>
      <c r="C455" t="s">
        <v>11</v>
      </c>
      <c r="D455" s="1" t="s">
        <v>1752</v>
      </c>
      <c r="E455" t="s">
        <v>1753</v>
      </c>
      <c r="F455" t="s">
        <v>1754</v>
      </c>
    </row>
    <row r="456" spans="1:6" x14ac:dyDescent="0.3">
      <c r="A456">
        <v>455</v>
      </c>
      <c r="B456" t="s">
        <v>1755</v>
      </c>
      <c r="C456" t="s">
        <v>45</v>
      </c>
      <c r="D456" s="1" t="s">
        <v>1756</v>
      </c>
      <c r="E456" t="s">
        <v>1757</v>
      </c>
      <c r="F456" t="s">
        <v>1758</v>
      </c>
    </row>
    <row r="457" spans="1:6" x14ac:dyDescent="0.3">
      <c r="A457">
        <v>456</v>
      </c>
      <c r="B457" t="s">
        <v>1759</v>
      </c>
      <c r="C457" t="s">
        <v>11</v>
      </c>
      <c r="D457" s="1" t="s">
        <v>1760</v>
      </c>
      <c r="E457" t="s">
        <v>1761</v>
      </c>
      <c r="F457" t="s">
        <v>1762</v>
      </c>
    </row>
    <row r="458" spans="1:6" x14ac:dyDescent="0.3">
      <c r="A458">
        <v>457</v>
      </c>
      <c r="B458" t="s">
        <v>1763</v>
      </c>
      <c r="C458" t="s">
        <v>32</v>
      </c>
      <c r="D458" s="1" t="s">
        <v>1764</v>
      </c>
      <c r="E458" t="s">
        <v>1765</v>
      </c>
      <c r="F458">
        <f>1-561-628-5780</f>
        <v>-6968</v>
      </c>
    </row>
    <row r="459" spans="1:6" x14ac:dyDescent="0.3">
      <c r="A459">
        <v>458</v>
      </c>
      <c r="B459" t="s">
        <v>1323</v>
      </c>
      <c r="C459" t="s">
        <v>11</v>
      </c>
      <c r="D459" s="1" t="s">
        <v>1766</v>
      </c>
      <c r="E459" t="s">
        <v>1767</v>
      </c>
      <c r="F459" t="s">
        <v>1768</v>
      </c>
    </row>
    <row r="460" spans="1:6" x14ac:dyDescent="0.3">
      <c r="A460">
        <v>459</v>
      </c>
      <c r="B460" t="s">
        <v>734</v>
      </c>
      <c r="C460" t="s">
        <v>7</v>
      </c>
      <c r="D460" s="1" t="s">
        <v>1769</v>
      </c>
      <c r="E460" t="s">
        <v>1770</v>
      </c>
      <c r="F460" t="s">
        <v>1771</v>
      </c>
    </row>
    <row r="461" spans="1:6" x14ac:dyDescent="0.3">
      <c r="A461">
        <v>460</v>
      </c>
      <c r="B461" t="s">
        <v>1772</v>
      </c>
      <c r="C461" t="s">
        <v>11</v>
      </c>
      <c r="D461" s="1" t="s">
        <v>1773</v>
      </c>
      <c r="E461" t="s">
        <v>1774</v>
      </c>
      <c r="F461">
        <v>2924416283</v>
      </c>
    </row>
    <row r="462" spans="1:6" x14ac:dyDescent="0.3">
      <c r="A462">
        <v>461</v>
      </c>
      <c r="B462" t="s">
        <v>1775</v>
      </c>
      <c r="C462" t="s">
        <v>32</v>
      </c>
      <c r="D462" s="1" t="s">
        <v>1776</v>
      </c>
      <c r="E462" t="s">
        <v>1777</v>
      </c>
      <c r="F462" t="s">
        <v>1778</v>
      </c>
    </row>
    <row r="463" spans="1:6" x14ac:dyDescent="0.3">
      <c r="A463">
        <v>462</v>
      </c>
      <c r="B463" t="s">
        <v>1779</v>
      </c>
      <c r="C463" t="s">
        <v>32</v>
      </c>
      <c r="D463" s="1" t="s">
        <v>1780</v>
      </c>
      <c r="E463" t="s">
        <v>1781</v>
      </c>
      <c r="F463" t="s">
        <v>1782</v>
      </c>
    </row>
    <row r="464" spans="1:6" x14ac:dyDescent="0.3">
      <c r="A464">
        <v>463</v>
      </c>
      <c r="B464" t="s">
        <v>1783</v>
      </c>
      <c r="C464" t="s">
        <v>11</v>
      </c>
      <c r="D464" s="1" t="s">
        <v>1784</v>
      </c>
      <c r="E464" t="s">
        <v>1785</v>
      </c>
      <c r="F464" t="s">
        <v>1786</v>
      </c>
    </row>
    <row r="465" spans="1:6" x14ac:dyDescent="0.3">
      <c r="A465">
        <v>464</v>
      </c>
      <c r="B465" t="s">
        <v>1787</v>
      </c>
      <c r="C465" t="s">
        <v>45</v>
      </c>
      <c r="D465" s="1" t="s">
        <v>1788</v>
      </c>
      <c r="E465" t="s">
        <v>1789</v>
      </c>
      <c r="F465" t="s">
        <v>1790</v>
      </c>
    </row>
    <row r="466" spans="1:6" x14ac:dyDescent="0.3">
      <c r="A466">
        <v>465</v>
      </c>
      <c r="B466" t="s">
        <v>1791</v>
      </c>
      <c r="C466" t="s">
        <v>32</v>
      </c>
      <c r="D466" s="1" t="s">
        <v>1792</v>
      </c>
      <c r="E466" t="s">
        <v>1793</v>
      </c>
      <c r="F466" t="s">
        <v>1794</v>
      </c>
    </row>
    <row r="467" spans="1:6" x14ac:dyDescent="0.3">
      <c r="A467">
        <v>466</v>
      </c>
      <c r="B467" t="s">
        <v>1795</v>
      </c>
      <c r="C467" t="s">
        <v>32</v>
      </c>
      <c r="D467" s="1" t="s">
        <v>1796</v>
      </c>
      <c r="E467" t="s">
        <v>1797</v>
      </c>
      <c r="F467" t="s">
        <v>1798</v>
      </c>
    </row>
    <row r="468" spans="1:6" x14ac:dyDescent="0.3">
      <c r="A468">
        <v>467</v>
      </c>
      <c r="B468" t="s">
        <v>1799</v>
      </c>
      <c r="C468" t="s">
        <v>45</v>
      </c>
      <c r="D468" s="1" t="s">
        <v>1800</v>
      </c>
      <c r="E468" t="s">
        <v>986</v>
      </c>
      <c r="F468" t="s">
        <v>1801</v>
      </c>
    </row>
    <row r="469" spans="1:6" x14ac:dyDescent="0.3">
      <c r="A469">
        <v>468</v>
      </c>
      <c r="B469" t="s">
        <v>1802</v>
      </c>
      <c r="C469" t="s">
        <v>7</v>
      </c>
      <c r="D469" s="1" t="s">
        <v>1803</v>
      </c>
      <c r="E469" t="s">
        <v>1804</v>
      </c>
      <c r="F469" t="s">
        <v>1805</v>
      </c>
    </row>
    <row r="470" spans="1:6" x14ac:dyDescent="0.3">
      <c r="A470">
        <v>469</v>
      </c>
      <c r="B470" t="s">
        <v>1806</v>
      </c>
      <c r="C470" t="s">
        <v>7</v>
      </c>
      <c r="D470" s="1" t="s">
        <v>1807</v>
      </c>
      <c r="E470" t="s">
        <v>1808</v>
      </c>
      <c r="F470" t="s">
        <v>1809</v>
      </c>
    </row>
    <row r="471" spans="1:6" x14ac:dyDescent="0.3">
      <c r="A471">
        <v>470</v>
      </c>
      <c r="B471" t="s">
        <v>1810</v>
      </c>
      <c r="C471" t="s">
        <v>32</v>
      </c>
      <c r="D471" s="1" t="s">
        <v>1811</v>
      </c>
      <c r="E471" t="s">
        <v>1812</v>
      </c>
      <c r="F471" t="s">
        <v>1813</v>
      </c>
    </row>
    <row r="472" spans="1:6" x14ac:dyDescent="0.3">
      <c r="A472">
        <v>471</v>
      </c>
      <c r="B472" t="s">
        <v>1814</v>
      </c>
      <c r="C472" t="s">
        <v>11</v>
      </c>
      <c r="D472" s="1" t="s">
        <v>1815</v>
      </c>
      <c r="E472" t="s">
        <v>1816</v>
      </c>
      <c r="F472" t="s">
        <v>1817</v>
      </c>
    </row>
    <row r="473" spans="1:6" x14ac:dyDescent="0.3">
      <c r="A473">
        <v>472</v>
      </c>
      <c r="B473" t="s">
        <v>1818</v>
      </c>
      <c r="C473" t="s">
        <v>32</v>
      </c>
      <c r="D473" s="1" t="s">
        <v>1819</v>
      </c>
      <c r="E473" t="s">
        <v>1820</v>
      </c>
      <c r="F473" t="s">
        <v>1821</v>
      </c>
    </row>
    <row r="474" spans="1:6" x14ac:dyDescent="0.3">
      <c r="A474">
        <v>473</v>
      </c>
      <c r="B474" t="s">
        <v>1822</v>
      </c>
      <c r="C474" t="s">
        <v>7</v>
      </c>
      <c r="D474" s="1" t="s">
        <v>1823</v>
      </c>
      <c r="E474" t="s">
        <v>1824</v>
      </c>
      <c r="F474" t="s">
        <v>1825</v>
      </c>
    </row>
    <row r="475" spans="1:6" x14ac:dyDescent="0.3">
      <c r="A475">
        <v>474</v>
      </c>
      <c r="B475" t="s">
        <v>1826</v>
      </c>
      <c r="C475" t="s">
        <v>45</v>
      </c>
      <c r="D475" s="1" t="s">
        <v>1827</v>
      </c>
      <c r="E475" t="s">
        <v>1828</v>
      </c>
      <c r="F475" t="s">
        <v>1829</v>
      </c>
    </row>
    <row r="476" spans="1:6" x14ac:dyDescent="0.3">
      <c r="A476">
        <v>475</v>
      </c>
      <c r="B476" t="s">
        <v>1830</v>
      </c>
      <c r="C476" t="s">
        <v>45</v>
      </c>
      <c r="D476" s="1" t="s">
        <v>1831</v>
      </c>
      <c r="E476" t="s">
        <v>1832</v>
      </c>
      <c r="F476" t="s">
        <v>1833</v>
      </c>
    </row>
    <row r="477" spans="1:6" x14ac:dyDescent="0.3">
      <c r="A477">
        <v>476</v>
      </c>
      <c r="B477" t="s">
        <v>1834</v>
      </c>
      <c r="C477" t="s">
        <v>45</v>
      </c>
      <c r="D477" s="1" t="s">
        <v>1835</v>
      </c>
      <c r="E477" t="s">
        <v>1836</v>
      </c>
      <c r="F477" t="s">
        <v>1837</v>
      </c>
    </row>
    <row r="478" spans="1:6" x14ac:dyDescent="0.3">
      <c r="A478">
        <v>477</v>
      </c>
      <c r="B478" t="s">
        <v>1838</v>
      </c>
      <c r="C478" t="s">
        <v>7</v>
      </c>
      <c r="D478" s="1" t="s">
        <v>1839</v>
      </c>
      <c r="E478" t="s">
        <v>1840</v>
      </c>
      <c r="F478">
        <v>5915828492</v>
      </c>
    </row>
    <row r="479" spans="1:6" x14ac:dyDescent="0.3">
      <c r="A479">
        <v>478</v>
      </c>
      <c r="B479" t="s">
        <v>1841</v>
      </c>
      <c r="C479" t="s">
        <v>45</v>
      </c>
      <c r="D479" s="1" t="s">
        <v>1842</v>
      </c>
      <c r="E479" t="s">
        <v>1843</v>
      </c>
      <c r="F479" t="s">
        <v>1844</v>
      </c>
    </row>
    <row r="480" spans="1:6" x14ac:dyDescent="0.3">
      <c r="A480">
        <v>479</v>
      </c>
      <c r="B480" t="s">
        <v>1845</v>
      </c>
      <c r="C480" t="s">
        <v>32</v>
      </c>
      <c r="D480" s="1" t="s">
        <v>1846</v>
      </c>
      <c r="E480" t="s">
        <v>1847</v>
      </c>
      <c r="F480" t="s">
        <v>1848</v>
      </c>
    </row>
    <row r="481" spans="1:6" x14ac:dyDescent="0.3">
      <c r="A481">
        <v>480</v>
      </c>
      <c r="B481" t="s">
        <v>1849</v>
      </c>
      <c r="C481" t="s">
        <v>45</v>
      </c>
      <c r="D481" s="1" t="s">
        <v>1850</v>
      </c>
      <c r="E481" t="s">
        <v>1851</v>
      </c>
      <c r="F481" t="s">
        <v>1852</v>
      </c>
    </row>
    <row r="482" spans="1:6" x14ac:dyDescent="0.3">
      <c r="A482">
        <v>481</v>
      </c>
      <c r="B482" t="s">
        <v>1853</v>
      </c>
      <c r="C482" t="s">
        <v>32</v>
      </c>
      <c r="D482" s="1" t="s">
        <v>1854</v>
      </c>
      <c r="E482" t="s">
        <v>1855</v>
      </c>
      <c r="F482" t="s">
        <v>1856</v>
      </c>
    </row>
    <row r="483" spans="1:6" x14ac:dyDescent="0.3">
      <c r="A483">
        <v>482</v>
      </c>
      <c r="B483" t="s">
        <v>1857</v>
      </c>
      <c r="C483" t="s">
        <v>32</v>
      </c>
      <c r="D483" s="1" t="s">
        <v>1858</v>
      </c>
      <c r="E483" t="s">
        <v>1859</v>
      </c>
      <c r="F483" t="s">
        <v>1860</v>
      </c>
    </row>
    <row r="484" spans="1:6" x14ac:dyDescent="0.3">
      <c r="A484">
        <v>483</v>
      </c>
      <c r="B484" t="s">
        <v>1861</v>
      </c>
      <c r="C484" t="s">
        <v>45</v>
      </c>
      <c r="D484" s="1" t="s">
        <v>1862</v>
      </c>
      <c r="E484" t="s">
        <v>1863</v>
      </c>
      <c r="F484" t="s">
        <v>1864</v>
      </c>
    </row>
    <row r="485" spans="1:6" x14ac:dyDescent="0.3">
      <c r="A485">
        <v>484</v>
      </c>
      <c r="B485" t="s">
        <v>1865</v>
      </c>
      <c r="C485" t="s">
        <v>32</v>
      </c>
      <c r="D485" s="1" t="s">
        <v>1866</v>
      </c>
      <c r="E485" t="s">
        <v>1867</v>
      </c>
      <c r="F485" t="s">
        <v>1868</v>
      </c>
    </row>
    <row r="486" spans="1:6" x14ac:dyDescent="0.3">
      <c r="A486">
        <v>485</v>
      </c>
      <c r="B486" t="s">
        <v>1869</v>
      </c>
      <c r="C486" t="s">
        <v>32</v>
      </c>
      <c r="D486" s="1" t="s">
        <v>1870</v>
      </c>
      <c r="E486" t="s">
        <v>1871</v>
      </c>
      <c r="F486" t="s">
        <v>1872</v>
      </c>
    </row>
    <row r="487" spans="1:6" x14ac:dyDescent="0.3">
      <c r="A487">
        <v>486</v>
      </c>
      <c r="B487" t="s">
        <v>1873</v>
      </c>
      <c r="C487" t="s">
        <v>11</v>
      </c>
      <c r="D487" s="1" t="s">
        <v>1874</v>
      </c>
      <c r="E487" t="s">
        <v>1875</v>
      </c>
      <c r="F487" t="s">
        <v>1876</v>
      </c>
    </row>
    <row r="488" spans="1:6" x14ac:dyDescent="0.3">
      <c r="A488">
        <v>487</v>
      </c>
      <c r="B488" t="s">
        <v>1877</v>
      </c>
      <c r="C488" t="s">
        <v>7</v>
      </c>
      <c r="D488" s="1" t="s">
        <v>1878</v>
      </c>
      <c r="E488" t="s">
        <v>1879</v>
      </c>
      <c r="F488" t="s">
        <v>1880</v>
      </c>
    </row>
    <row r="489" spans="1:6" x14ac:dyDescent="0.3">
      <c r="A489">
        <v>488</v>
      </c>
      <c r="B489" t="s">
        <v>1881</v>
      </c>
      <c r="C489" t="s">
        <v>32</v>
      </c>
      <c r="D489" s="1" t="s">
        <v>1882</v>
      </c>
      <c r="E489" t="s">
        <v>1883</v>
      </c>
      <c r="F489" t="s">
        <v>1884</v>
      </c>
    </row>
    <row r="490" spans="1:6" x14ac:dyDescent="0.3">
      <c r="A490">
        <v>489</v>
      </c>
      <c r="B490" t="s">
        <v>1885</v>
      </c>
      <c r="C490" t="s">
        <v>45</v>
      </c>
      <c r="D490" s="1" t="s">
        <v>1886</v>
      </c>
      <c r="E490" t="s">
        <v>1887</v>
      </c>
      <c r="F490" t="s">
        <v>1888</v>
      </c>
    </row>
    <row r="491" spans="1:6" x14ac:dyDescent="0.3">
      <c r="A491">
        <v>490</v>
      </c>
      <c r="B491" t="s">
        <v>1889</v>
      </c>
      <c r="C491" t="s">
        <v>32</v>
      </c>
      <c r="D491" s="1" t="s">
        <v>1890</v>
      </c>
      <c r="E491" t="s">
        <v>1891</v>
      </c>
      <c r="F491" t="s">
        <v>1892</v>
      </c>
    </row>
    <row r="492" spans="1:6" x14ac:dyDescent="0.3">
      <c r="A492">
        <v>491</v>
      </c>
      <c r="B492" t="s">
        <v>1893</v>
      </c>
      <c r="C492" t="s">
        <v>7</v>
      </c>
      <c r="D492" s="1" t="s">
        <v>1894</v>
      </c>
      <c r="E492" t="s">
        <v>1895</v>
      </c>
      <c r="F492">
        <v>3597678978</v>
      </c>
    </row>
    <row r="493" spans="1:6" x14ac:dyDescent="0.3">
      <c r="A493">
        <v>492</v>
      </c>
      <c r="B493" t="s">
        <v>1896</v>
      </c>
      <c r="C493" t="s">
        <v>32</v>
      </c>
      <c r="D493" s="1" t="s">
        <v>1897</v>
      </c>
      <c r="E493" t="s">
        <v>1898</v>
      </c>
      <c r="F493" t="s">
        <v>1899</v>
      </c>
    </row>
    <row r="494" spans="1:6" x14ac:dyDescent="0.3">
      <c r="A494">
        <v>493</v>
      </c>
      <c r="B494" t="s">
        <v>1900</v>
      </c>
      <c r="C494" t="s">
        <v>7</v>
      </c>
      <c r="D494" s="1" t="s">
        <v>1901</v>
      </c>
      <c r="E494" t="s">
        <v>1902</v>
      </c>
      <c r="F494" t="s">
        <v>1903</v>
      </c>
    </row>
    <row r="495" spans="1:6" x14ac:dyDescent="0.3">
      <c r="A495">
        <v>494</v>
      </c>
      <c r="B495" t="s">
        <v>1904</v>
      </c>
      <c r="C495" t="s">
        <v>7</v>
      </c>
      <c r="D495" s="1" t="s">
        <v>1905</v>
      </c>
      <c r="E495" t="s">
        <v>1906</v>
      </c>
      <c r="F495" t="s">
        <v>1907</v>
      </c>
    </row>
    <row r="496" spans="1:6" x14ac:dyDescent="0.3">
      <c r="A496">
        <v>495</v>
      </c>
      <c r="B496" t="s">
        <v>1908</v>
      </c>
      <c r="C496" t="s">
        <v>7</v>
      </c>
      <c r="D496" s="1" t="s">
        <v>1909</v>
      </c>
      <c r="E496" t="s">
        <v>1910</v>
      </c>
      <c r="F496">
        <v>8977010648</v>
      </c>
    </row>
    <row r="497" spans="1:6" x14ac:dyDescent="0.3">
      <c r="A497">
        <v>496</v>
      </c>
      <c r="B497" t="s">
        <v>1911</v>
      </c>
      <c r="C497" t="s">
        <v>45</v>
      </c>
      <c r="D497" s="1" t="s">
        <v>1912</v>
      </c>
      <c r="E497" t="s">
        <v>1913</v>
      </c>
      <c r="F497" t="s">
        <v>1914</v>
      </c>
    </row>
    <row r="498" spans="1:6" x14ac:dyDescent="0.3">
      <c r="A498">
        <v>497</v>
      </c>
      <c r="B498" t="s">
        <v>1915</v>
      </c>
      <c r="C498" t="s">
        <v>45</v>
      </c>
      <c r="D498" s="1" t="s">
        <v>1916</v>
      </c>
      <c r="E498" t="s">
        <v>1917</v>
      </c>
      <c r="F498" t="s">
        <v>1918</v>
      </c>
    </row>
    <row r="499" spans="1:6" x14ac:dyDescent="0.3">
      <c r="A499">
        <v>498</v>
      </c>
      <c r="B499" t="s">
        <v>1919</v>
      </c>
      <c r="C499" t="s">
        <v>11</v>
      </c>
      <c r="D499" s="1" t="s">
        <v>1920</v>
      </c>
      <c r="E499" t="s">
        <v>1921</v>
      </c>
      <c r="F499" t="s">
        <v>1922</v>
      </c>
    </row>
    <row r="500" spans="1:6" x14ac:dyDescent="0.3">
      <c r="A500">
        <v>499</v>
      </c>
      <c r="B500" t="s">
        <v>1923</v>
      </c>
      <c r="C500" t="s">
        <v>45</v>
      </c>
      <c r="D500" s="1" t="s">
        <v>1924</v>
      </c>
      <c r="E500" t="s">
        <v>1925</v>
      </c>
      <c r="F500" t="s">
        <v>1926</v>
      </c>
    </row>
    <row r="501" spans="1:6" x14ac:dyDescent="0.3">
      <c r="A501">
        <v>500</v>
      </c>
      <c r="B501" t="s">
        <v>1927</v>
      </c>
      <c r="C501" t="s">
        <v>45</v>
      </c>
      <c r="D501" s="1" t="s">
        <v>1928</v>
      </c>
      <c r="E501" t="s">
        <v>1929</v>
      </c>
      <c r="F501" t="s">
        <v>1930</v>
      </c>
    </row>
    <row r="502" spans="1:6" x14ac:dyDescent="0.3">
      <c r="A502">
        <v>501</v>
      </c>
      <c r="B502" t="s">
        <v>1931</v>
      </c>
      <c r="C502" t="s">
        <v>11</v>
      </c>
      <c r="D502" s="1" t="s">
        <v>1932</v>
      </c>
      <c r="E502" t="s">
        <v>1933</v>
      </c>
      <c r="F502" t="s">
        <v>1934</v>
      </c>
    </row>
    <row r="503" spans="1:6" x14ac:dyDescent="0.3">
      <c r="A503">
        <v>502</v>
      </c>
      <c r="B503" t="s">
        <v>1935</v>
      </c>
      <c r="C503" t="s">
        <v>7</v>
      </c>
      <c r="D503" s="1" t="s">
        <v>1936</v>
      </c>
      <c r="E503" t="s">
        <v>1937</v>
      </c>
      <c r="F503" t="s">
        <v>1938</v>
      </c>
    </row>
    <row r="504" spans="1:6" x14ac:dyDescent="0.3">
      <c r="A504">
        <v>503</v>
      </c>
      <c r="B504" t="s">
        <v>1939</v>
      </c>
      <c r="C504" t="s">
        <v>32</v>
      </c>
      <c r="D504" s="1" t="s">
        <v>1940</v>
      </c>
      <c r="E504" t="s">
        <v>1941</v>
      </c>
      <c r="F504" t="s">
        <v>1942</v>
      </c>
    </row>
    <row r="505" spans="1:6" x14ac:dyDescent="0.3">
      <c r="A505">
        <v>504</v>
      </c>
      <c r="B505" t="s">
        <v>1943</v>
      </c>
      <c r="C505" t="s">
        <v>45</v>
      </c>
      <c r="D505" s="1" t="s">
        <v>1944</v>
      </c>
      <c r="E505" t="s">
        <v>1945</v>
      </c>
      <c r="F505">
        <v>1943075475</v>
      </c>
    </row>
    <row r="506" spans="1:6" x14ac:dyDescent="0.3">
      <c r="A506">
        <v>505</v>
      </c>
      <c r="B506" t="s">
        <v>1946</v>
      </c>
      <c r="C506" t="s">
        <v>32</v>
      </c>
      <c r="D506" s="1" t="s">
        <v>1947</v>
      </c>
      <c r="E506" t="s">
        <v>1948</v>
      </c>
      <c r="F506">
        <f>1-651-831-7090</f>
        <v>-8571</v>
      </c>
    </row>
    <row r="507" spans="1:6" x14ac:dyDescent="0.3">
      <c r="A507">
        <v>506</v>
      </c>
      <c r="B507" t="s">
        <v>1949</v>
      </c>
      <c r="C507" t="s">
        <v>45</v>
      </c>
      <c r="D507" s="1" t="s">
        <v>1950</v>
      </c>
      <c r="E507" t="s">
        <v>1951</v>
      </c>
      <c r="F507" t="s">
        <v>1952</v>
      </c>
    </row>
    <row r="508" spans="1:6" x14ac:dyDescent="0.3">
      <c r="A508">
        <v>507</v>
      </c>
      <c r="B508" t="s">
        <v>1953</v>
      </c>
      <c r="C508" t="s">
        <v>11</v>
      </c>
      <c r="D508" s="1" t="s">
        <v>1954</v>
      </c>
      <c r="E508" t="s">
        <v>1955</v>
      </c>
      <c r="F508" t="s">
        <v>1956</v>
      </c>
    </row>
    <row r="509" spans="1:6" x14ac:dyDescent="0.3">
      <c r="A509">
        <v>508</v>
      </c>
      <c r="B509" t="s">
        <v>1957</v>
      </c>
      <c r="C509" t="s">
        <v>32</v>
      </c>
      <c r="D509" s="1" t="s">
        <v>1958</v>
      </c>
      <c r="E509" t="s">
        <v>1959</v>
      </c>
      <c r="F509" t="s">
        <v>1960</v>
      </c>
    </row>
    <row r="510" spans="1:6" x14ac:dyDescent="0.3">
      <c r="A510">
        <v>509</v>
      </c>
      <c r="B510" t="s">
        <v>1961</v>
      </c>
      <c r="C510" t="s">
        <v>11</v>
      </c>
      <c r="D510" s="1" t="s">
        <v>1962</v>
      </c>
      <c r="E510" t="s">
        <v>1963</v>
      </c>
      <c r="F510" t="s">
        <v>1964</v>
      </c>
    </row>
    <row r="511" spans="1:6" x14ac:dyDescent="0.3">
      <c r="A511">
        <v>510</v>
      </c>
      <c r="B511" t="s">
        <v>1965</v>
      </c>
      <c r="C511" t="s">
        <v>32</v>
      </c>
      <c r="D511" s="1" t="s">
        <v>1966</v>
      </c>
      <c r="E511" t="s">
        <v>1967</v>
      </c>
      <c r="F511" t="s">
        <v>1968</v>
      </c>
    </row>
    <row r="512" spans="1:6" x14ac:dyDescent="0.3">
      <c r="A512">
        <v>511</v>
      </c>
      <c r="B512" t="s">
        <v>1969</v>
      </c>
      <c r="C512" t="s">
        <v>11</v>
      </c>
      <c r="D512" s="1" t="s">
        <v>1970</v>
      </c>
      <c r="E512" t="s">
        <v>1971</v>
      </c>
      <c r="F512" t="s">
        <v>1972</v>
      </c>
    </row>
    <row r="513" spans="1:6" x14ac:dyDescent="0.3">
      <c r="A513">
        <v>512</v>
      </c>
      <c r="B513" t="s">
        <v>1973</v>
      </c>
      <c r="C513" t="s">
        <v>11</v>
      </c>
      <c r="D513" s="1" t="s">
        <v>1974</v>
      </c>
      <c r="E513" t="s">
        <v>1975</v>
      </c>
      <c r="F513" t="s">
        <v>1976</v>
      </c>
    </row>
    <row r="514" spans="1:6" x14ac:dyDescent="0.3">
      <c r="A514">
        <v>513</v>
      </c>
      <c r="B514" t="s">
        <v>1977</v>
      </c>
      <c r="C514" t="s">
        <v>45</v>
      </c>
      <c r="D514" s="1" t="s">
        <v>1978</v>
      </c>
      <c r="E514" t="s">
        <v>1979</v>
      </c>
      <c r="F514" t="s">
        <v>1980</v>
      </c>
    </row>
    <row r="515" spans="1:6" x14ac:dyDescent="0.3">
      <c r="A515">
        <v>514</v>
      </c>
      <c r="B515" t="s">
        <v>1981</v>
      </c>
      <c r="C515" t="s">
        <v>7</v>
      </c>
      <c r="D515" s="1" t="s">
        <v>1982</v>
      </c>
      <c r="E515" t="s">
        <v>1983</v>
      </c>
      <c r="F515" t="s">
        <v>1984</v>
      </c>
    </row>
    <row r="516" spans="1:6" x14ac:dyDescent="0.3">
      <c r="A516">
        <v>515</v>
      </c>
      <c r="B516" t="s">
        <v>1985</v>
      </c>
      <c r="C516" t="s">
        <v>32</v>
      </c>
      <c r="D516" s="1" t="s">
        <v>1986</v>
      </c>
      <c r="E516" t="s">
        <v>1987</v>
      </c>
      <c r="F516" t="s">
        <v>1988</v>
      </c>
    </row>
    <row r="517" spans="1:6" x14ac:dyDescent="0.3">
      <c r="A517">
        <v>516</v>
      </c>
      <c r="B517" t="s">
        <v>1989</v>
      </c>
      <c r="C517" t="s">
        <v>45</v>
      </c>
      <c r="D517" s="1" t="s">
        <v>1990</v>
      </c>
      <c r="E517" t="s">
        <v>1991</v>
      </c>
      <c r="F517" t="s">
        <v>1992</v>
      </c>
    </row>
    <row r="518" spans="1:6" x14ac:dyDescent="0.3">
      <c r="A518">
        <v>517</v>
      </c>
      <c r="B518" t="s">
        <v>1993</v>
      </c>
      <c r="C518" t="s">
        <v>11</v>
      </c>
      <c r="D518" s="1" t="s">
        <v>1994</v>
      </c>
      <c r="E518" t="s">
        <v>1995</v>
      </c>
      <c r="F518" t="s">
        <v>1996</v>
      </c>
    </row>
    <row r="519" spans="1:6" x14ac:dyDescent="0.3">
      <c r="A519">
        <v>518</v>
      </c>
      <c r="B519" t="s">
        <v>1997</v>
      </c>
      <c r="C519" t="s">
        <v>11</v>
      </c>
      <c r="D519" s="1" t="s">
        <v>1998</v>
      </c>
      <c r="E519" t="s">
        <v>1999</v>
      </c>
      <c r="F519" t="s">
        <v>2000</v>
      </c>
    </row>
    <row r="520" spans="1:6" x14ac:dyDescent="0.3">
      <c r="A520">
        <v>519</v>
      </c>
      <c r="B520" t="s">
        <v>2001</v>
      </c>
      <c r="C520" t="s">
        <v>32</v>
      </c>
      <c r="D520" s="1" t="s">
        <v>2002</v>
      </c>
      <c r="E520" t="s">
        <v>2003</v>
      </c>
      <c r="F520">
        <v>4873246566</v>
      </c>
    </row>
    <row r="521" spans="1:6" x14ac:dyDescent="0.3">
      <c r="A521">
        <v>520</v>
      </c>
      <c r="B521" t="s">
        <v>2004</v>
      </c>
      <c r="C521" t="s">
        <v>45</v>
      </c>
      <c r="D521" s="1" t="s">
        <v>2005</v>
      </c>
      <c r="E521" t="s">
        <v>2006</v>
      </c>
      <c r="F521" t="s">
        <v>2007</v>
      </c>
    </row>
    <row r="522" spans="1:6" x14ac:dyDescent="0.3">
      <c r="A522">
        <v>521</v>
      </c>
      <c r="B522" t="s">
        <v>2008</v>
      </c>
      <c r="C522" t="s">
        <v>11</v>
      </c>
      <c r="D522" s="1" t="s">
        <v>2009</v>
      </c>
      <c r="E522" t="s">
        <v>2010</v>
      </c>
      <c r="F522" t="s">
        <v>2011</v>
      </c>
    </row>
    <row r="523" spans="1:6" x14ac:dyDescent="0.3">
      <c r="A523">
        <v>522</v>
      </c>
      <c r="B523" t="s">
        <v>2012</v>
      </c>
      <c r="C523" t="s">
        <v>11</v>
      </c>
      <c r="D523" s="1" t="s">
        <v>2013</v>
      </c>
      <c r="E523" t="s">
        <v>2014</v>
      </c>
      <c r="F523" t="s">
        <v>2015</v>
      </c>
    </row>
    <row r="524" spans="1:6" x14ac:dyDescent="0.3">
      <c r="A524">
        <v>523</v>
      </c>
      <c r="B524" t="s">
        <v>2016</v>
      </c>
      <c r="C524" t="s">
        <v>32</v>
      </c>
      <c r="D524" s="1" t="s">
        <v>2017</v>
      </c>
      <c r="E524" t="s">
        <v>2018</v>
      </c>
      <c r="F524" t="s">
        <v>2019</v>
      </c>
    </row>
    <row r="525" spans="1:6" x14ac:dyDescent="0.3">
      <c r="A525">
        <v>524</v>
      </c>
      <c r="B525" t="s">
        <v>2020</v>
      </c>
      <c r="C525" t="s">
        <v>11</v>
      </c>
      <c r="D525" s="1" t="s">
        <v>2021</v>
      </c>
      <c r="E525" t="s">
        <v>2022</v>
      </c>
      <c r="F525" t="s">
        <v>2023</v>
      </c>
    </row>
    <row r="526" spans="1:6" x14ac:dyDescent="0.3">
      <c r="A526">
        <v>525</v>
      </c>
      <c r="B526" t="s">
        <v>2024</v>
      </c>
      <c r="C526" t="s">
        <v>7</v>
      </c>
      <c r="D526" s="1" t="s">
        <v>2025</v>
      </c>
      <c r="E526" t="s">
        <v>2026</v>
      </c>
      <c r="F526" t="s">
        <v>2027</v>
      </c>
    </row>
    <row r="527" spans="1:6" x14ac:dyDescent="0.3">
      <c r="A527">
        <v>526</v>
      </c>
      <c r="B527" t="s">
        <v>2028</v>
      </c>
      <c r="C527" t="s">
        <v>7</v>
      </c>
      <c r="D527" s="1" t="s">
        <v>2029</v>
      </c>
      <c r="E527" t="s">
        <v>2030</v>
      </c>
      <c r="F527" t="s">
        <v>2031</v>
      </c>
    </row>
    <row r="528" spans="1:6" x14ac:dyDescent="0.3">
      <c r="A528">
        <v>527</v>
      </c>
      <c r="B528" t="s">
        <v>2032</v>
      </c>
      <c r="C528" t="s">
        <v>7</v>
      </c>
      <c r="D528" s="1" t="s">
        <v>2033</v>
      </c>
      <c r="E528" t="s">
        <v>2034</v>
      </c>
      <c r="F528" t="s">
        <v>2035</v>
      </c>
    </row>
    <row r="529" spans="1:6" x14ac:dyDescent="0.3">
      <c r="A529">
        <v>528</v>
      </c>
      <c r="B529" t="s">
        <v>2036</v>
      </c>
      <c r="C529" t="s">
        <v>7</v>
      </c>
      <c r="D529" s="1" t="s">
        <v>2037</v>
      </c>
      <c r="E529" t="s">
        <v>2038</v>
      </c>
      <c r="F529" t="s">
        <v>2039</v>
      </c>
    </row>
    <row r="530" spans="1:6" x14ac:dyDescent="0.3">
      <c r="A530">
        <v>529</v>
      </c>
      <c r="B530" t="s">
        <v>2040</v>
      </c>
      <c r="C530" t="s">
        <v>11</v>
      </c>
      <c r="D530" s="1" t="s">
        <v>2041</v>
      </c>
      <c r="E530" t="s">
        <v>2042</v>
      </c>
      <c r="F530">
        <f>1-654-546-9999</f>
        <v>-11198</v>
      </c>
    </row>
    <row r="531" spans="1:6" x14ac:dyDescent="0.3">
      <c r="A531">
        <v>530</v>
      </c>
      <c r="B531" t="s">
        <v>2043</v>
      </c>
      <c r="C531" t="s">
        <v>45</v>
      </c>
      <c r="D531" s="1" t="s">
        <v>2044</v>
      </c>
      <c r="E531" t="s">
        <v>2045</v>
      </c>
      <c r="F531" t="s">
        <v>2046</v>
      </c>
    </row>
    <row r="532" spans="1:6" x14ac:dyDescent="0.3">
      <c r="A532">
        <v>531</v>
      </c>
      <c r="B532" t="s">
        <v>53</v>
      </c>
      <c r="C532" t="s">
        <v>45</v>
      </c>
      <c r="D532" s="1" t="s">
        <v>2047</v>
      </c>
      <c r="E532" t="s">
        <v>2048</v>
      </c>
      <c r="F532" t="s">
        <v>2049</v>
      </c>
    </row>
    <row r="533" spans="1:6" x14ac:dyDescent="0.3">
      <c r="A533">
        <v>532</v>
      </c>
      <c r="B533" t="s">
        <v>2050</v>
      </c>
      <c r="C533" t="s">
        <v>11</v>
      </c>
      <c r="D533" s="1" t="s">
        <v>2051</v>
      </c>
      <c r="E533" t="s">
        <v>2052</v>
      </c>
      <c r="F533" t="s">
        <v>2053</v>
      </c>
    </row>
    <row r="534" spans="1:6" x14ac:dyDescent="0.3">
      <c r="A534">
        <v>533</v>
      </c>
      <c r="B534" t="s">
        <v>2054</v>
      </c>
      <c r="C534" t="s">
        <v>45</v>
      </c>
      <c r="D534" s="1" t="s">
        <v>2055</v>
      </c>
      <c r="E534" t="s">
        <v>2056</v>
      </c>
      <c r="F534" t="s">
        <v>2057</v>
      </c>
    </row>
    <row r="535" spans="1:6" x14ac:dyDescent="0.3">
      <c r="A535">
        <v>534</v>
      </c>
      <c r="B535" t="s">
        <v>2058</v>
      </c>
      <c r="C535" t="s">
        <v>32</v>
      </c>
      <c r="D535" s="1" t="s">
        <v>2059</v>
      </c>
      <c r="E535" t="s">
        <v>2060</v>
      </c>
      <c r="F535">
        <v>4896850451</v>
      </c>
    </row>
    <row r="536" spans="1:6" x14ac:dyDescent="0.3">
      <c r="A536">
        <v>535</v>
      </c>
      <c r="B536" t="s">
        <v>2061</v>
      </c>
      <c r="C536" t="s">
        <v>11</v>
      </c>
      <c r="D536" s="1" t="s">
        <v>2062</v>
      </c>
      <c r="E536" t="s">
        <v>2063</v>
      </c>
      <c r="F536" t="s">
        <v>2064</v>
      </c>
    </row>
    <row r="537" spans="1:6" x14ac:dyDescent="0.3">
      <c r="A537">
        <v>536</v>
      </c>
      <c r="B537" t="s">
        <v>2065</v>
      </c>
      <c r="C537" t="s">
        <v>32</v>
      </c>
      <c r="D537" s="1" t="s">
        <v>2066</v>
      </c>
      <c r="E537" t="s">
        <v>2067</v>
      </c>
      <c r="F537" t="s">
        <v>2068</v>
      </c>
    </row>
    <row r="538" spans="1:6" x14ac:dyDescent="0.3">
      <c r="A538">
        <v>537</v>
      </c>
      <c r="B538" t="s">
        <v>2069</v>
      </c>
      <c r="C538" t="s">
        <v>32</v>
      </c>
      <c r="D538" s="1" t="s">
        <v>2070</v>
      </c>
      <c r="E538" t="s">
        <v>2071</v>
      </c>
      <c r="F538" t="s">
        <v>2072</v>
      </c>
    </row>
    <row r="539" spans="1:6" x14ac:dyDescent="0.3">
      <c r="A539">
        <v>538</v>
      </c>
      <c r="B539" t="s">
        <v>2073</v>
      </c>
      <c r="C539" t="s">
        <v>32</v>
      </c>
      <c r="D539" s="1" t="s">
        <v>2074</v>
      </c>
      <c r="E539" t="s">
        <v>2075</v>
      </c>
      <c r="F539" t="s">
        <v>2076</v>
      </c>
    </row>
    <row r="540" spans="1:6" x14ac:dyDescent="0.3">
      <c r="A540">
        <v>539</v>
      </c>
      <c r="B540" t="s">
        <v>2077</v>
      </c>
      <c r="C540" t="s">
        <v>32</v>
      </c>
      <c r="D540" s="1" t="s">
        <v>2078</v>
      </c>
      <c r="E540" t="s">
        <v>2079</v>
      </c>
      <c r="F540" t="s">
        <v>2080</v>
      </c>
    </row>
    <row r="541" spans="1:6" x14ac:dyDescent="0.3">
      <c r="A541">
        <v>540</v>
      </c>
      <c r="B541" t="s">
        <v>2081</v>
      </c>
      <c r="C541" t="s">
        <v>45</v>
      </c>
      <c r="D541" s="1" t="s">
        <v>2082</v>
      </c>
      <c r="E541" t="s">
        <v>2083</v>
      </c>
      <c r="F541" t="s">
        <v>2084</v>
      </c>
    </row>
    <row r="542" spans="1:6" x14ac:dyDescent="0.3">
      <c r="A542">
        <v>541</v>
      </c>
      <c r="B542" t="s">
        <v>2085</v>
      </c>
      <c r="C542" t="s">
        <v>45</v>
      </c>
      <c r="D542" s="1" t="s">
        <v>2086</v>
      </c>
      <c r="E542" t="s">
        <v>2087</v>
      </c>
      <c r="F542" t="s">
        <v>2088</v>
      </c>
    </row>
    <row r="543" spans="1:6" x14ac:dyDescent="0.3">
      <c r="A543">
        <v>542</v>
      </c>
      <c r="B543" t="s">
        <v>2089</v>
      </c>
      <c r="C543" t="s">
        <v>7</v>
      </c>
      <c r="D543" s="1" t="s">
        <v>2090</v>
      </c>
      <c r="E543" t="s">
        <v>2091</v>
      </c>
      <c r="F543" t="s">
        <v>2092</v>
      </c>
    </row>
    <row r="544" spans="1:6" x14ac:dyDescent="0.3">
      <c r="A544">
        <v>543</v>
      </c>
      <c r="B544" t="s">
        <v>2093</v>
      </c>
      <c r="C544" t="s">
        <v>45</v>
      </c>
      <c r="D544" s="1" t="s">
        <v>2094</v>
      </c>
      <c r="E544" t="s">
        <v>2095</v>
      </c>
      <c r="F544" t="s">
        <v>2096</v>
      </c>
    </row>
    <row r="545" spans="1:6" x14ac:dyDescent="0.3">
      <c r="A545">
        <v>544</v>
      </c>
      <c r="B545" t="s">
        <v>2097</v>
      </c>
      <c r="C545" t="s">
        <v>45</v>
      </c>
      <c r="D545" s="1" t="s">
        <v>2098</v>
      </c>
      <c r="E545" t="s">
        <v>2099</v>
      </c>
      <c r="F545" t="s">
        <v>2100</v>
      </c>
    </row>
    <row r="546" spans="1:6" x14ac:dyDescent="0.3">
      <c r="A546">
        <v>545</v>
      </c>
      <c r="B546" t="s">
        <v>2101</v>
      </c>
      <c r="C546" t="s">
        <v>32</v>
      </c>
      <c r="D546" s="1" t="s">
        <v>2102</v>
      </c>
      <c r="E546" t="s">
        <v>2103</v>
      </c>
      <c r="F546" t="s">
        <v>2104</v>
      </c>
    </row>
    <row r="547" spans="1:6" x14ac:dyDescent="0.3">
      <c r="A547">
        <v>546</v>
      </c>
      <c r="B547" t="s">
        <v>2105</v>
      </c>
      <c r="C547" t="s">
        <v>32</v>
      </c>
      <c r="D547" s="1" t="s">
        <v>2106</v>
      </c>
      <c r="E547" t="s">
        <v>2107</v>
      </c>
      <c r="F547" t="s">
        <v>2108</v>
      </c>
    </row>
    <row r="548" spans="1:6" x14ac:dyDescent="0.3">
      <c r="A548">
        <v>547</v>
      </c>
      <c r="B548" t="s">
        <v>2109</v>
      </c>
      <c r="C548" t="s">
        <v>32</v>
      </c>
      <c r="D548" s="1" t="s">
        <v>2110</v>
      </c>
      <c r="E548" t="s">
        <v>2111</v>
      </c>
      <c r="F548">
        <v>2616749124</v>
      </c>
    </row>
    <row r="549" spans="1:6" x14ac:dyDescent="0.3">
      <c r="A549">
        <v>548</v>
      </c>
      <c r="B549" t="s">
        <v>2112</v>
      </c>
      <c r="C549" t="s">
        <v>7</v>
      </c>
      <c r="D549" s="1" t="s">
        <v>2113</v>
      </c>
      <c r="E549" t="s">
        <v>2114</v>
      </c>
      <c r="F549" t="s">
        <v>2115</v>
      </c>
    </row>
    <row r="550" spans="1:6" x14ac:dyDescent="0.3">
      <c r="A550">
        <v>549</v>
      </c>
      <c r="B550" t="s">
        <v>2116</v>
      </c>
      <c r="C550" t="s">
        <v>45</v>
      </c>
      <c r="D550" s="1" t="s">
        <v>2117</v>
      </c>
      <c r="E550" t="s">
        <v>2118</v>
      </c>
      <c r="F550" t="s">
        <v>2119</v>
      </c>
    </row>
    <row r="551" spans="1:6" x14ac:dyDescent="0.3">
      <c r="A551">
        <v>550</v>
      </c>
      <c r="B551" t="s">
        <v>2120</v>
      </c>
      <c r="C551" t="s">
        <v>45</v>
      </c>
      <c r="D551" s="1" t="s">
        <v>2121</v>
      </c>
      <c r="E551" t="s">
        <v>2122</v>
      </c>
      <c r="F551" t="s">
        <v>2123</v>
      </c>
    </row>
    <row r="552" spans="1:6" x14ac:dyDescent="0.3">
      <c r="A552">
        <v>551</v>
      </c>
      <c r="B552" t="s">
        <v>2124</v>
      </c>
      <c r="C552" t="s">
        <v>32</v>
      </c>
      <c r="D552" s="1" t="s">
        <v>2125</v>
      </c>
      <c r="E552" t="s">
        <v>2126</v>
      </c>
      <c r="F552" t="s">
        <v>2127</v>
      </c>
    </row>
    <row r="553" spans="1:6" x14ac:dyDescent="0.3">
      <c r="A553">
        <v>552</v>
      </c>
      <c r="B553" t="s">
        <v>2128</v>
      </c>
      <c r="C553" t="s">
        <v>45</v>
      </c>
      <c r="D553" s="1" t="s">
        <v>2129</v>
      </c>
      <c r="E553" t="s">
        <v>2130</v>
      </c>
      <c r="F553" t="s">
        <v>2131</v>
      </c>
    </row>
    <row r="554" spans="1:6" x14ac:dyDescent="0.3">
      <c r="A554">
        <v>553</v>
      </c>
      <c r="B554" t="s">
        <v>2132</v>
      </c>
      <c r="C554" t="s">
        <v>7</v>
      </c>
      <c r="D554" s="1" t="s">
        <v>2133</v>
      </c>
      <c r="E554" t="s">
        <v>2134</v>
      </c>
      <c r="F554" t="s">
        <v>2135</v>
      </c>
    </row>
    <row r="555" spans="1:6" x14ac:dyDescent="0.3">
      <c r="A555">
        <v>554</v>
      </c>
      <c r="B555" t="s">
        <v>2136</v>
      </c>
      <c r="C555" t="s">
        <v>32</v>
      </c>
      <c r="D555" s="1" t="s">
        <v>2137</v>
      </c>
      <c r="E555" t="s">
        <v>2138</v>
      </c>
      <c r="F555" t="s">
        <v>2139</v>
      </c>
    </row>
    <row r="556" spans="1:6" x14ac:dyDescent="0.3">
      <c r="A556">
        <v>555</v>
      </c>
      <c r="B556" t="s">
        <v>2140</v>
      </c>
      <c r="C556" t="s">
        <v>11</v>
      </c>
      <c r="D556" s="1" t="s">
        <v>2141</v>
      </c>
      <c r="E556" t="s">
        <v>2142</v>
      </c>
      <c r="F556" t="s">
        <v>2143</v>
      </c>
    </row>
    <row r="557" spans="1:6" x14ac:dyDescent="0.3">
      <c r="A557">
        <v>556</v>
      </c>
      <c r="B557" t="s">
        <v>2144</v>
      </c>
      <c r="C557" t="s">
        <v>45</v>
      </c>
      <c r="D557" s="1" t="s">
        <v>2145</v>
      </c>
      <c r="E557" t="s">
        <v>2146</v>
      </c>
      <c r="F557">
        <v>7525269578</v>
      </c>
    </row>
    <row r="558" spans="1:6" x14ac:dyDescent="0.3">
      <c r="A558">
        <v>557</v>
      </c>
      <c r="B558" t="s">
        <v>2147</v>
      </c>
      <c r="C558" t="s">
        <v>32</v>
      </c>
      <c r="D558" s="1" t="s">
        <v>2148</v>
      </c>
      <c r="E558" t="s">
        <v>2149</v>
      </c>
      <c r="F558" t="s">
        <v>2150</v>
      </c>
    </row>
    <row r="559" spans="1:6" x14ac:dyDescent="0.3">
      <c r="A559">
        <v>558</v>
      </c>
      <c r="B559" t="s">
        <v>2151</v>
      </c>
      <c r="C559" t="s">
        <v>45</v>
      </c>
      <c r="D559" s="1" t="s">
        <v>2152</v>
      </c>
      <c r="E559" t="s">
        <v>2153</v>
      </c>
      <c r="F559">
        <f>1-153-394-994</f>
        <v>-1540</v>
      </c>
    </row>
    <row r="560" spans="1:6" x14ac:dyDescent="0.3">
      <c r="A560">
        <v>559</v>
      </c>
      <c r="B560" t="s">
        <v>2154</v>
      </c>
      <c r="C560" t="s">
        <v>45</v>
      </c>
      <c r="D560" s="1" t="s">
        <v>2155</v>
      </c>
      <c r="E560" t="s">
        <v>2156</v>
      </c>
      <c r="F560" t="s">
        <v>2157</v>
      </c>
    </row>
    <row r="561" spans="1:6" x14ac:dyDescent="0.3">
      <c r="A561">
        <v>560</v>
      </c>
      <c r="B561" t="s">
        <v>2158</v>
      </c>
      <c r="C561" t="s">
        <v>7</v>
      </c>
      <c r="D561" s="1" t="s">
        <v>2159</v>
      </c>
      <c r="E561" t="s">
        <v>2160</v>
      </c>
      <c r="F561" t="s">
        <v>2161</v>
      </c>
    </row>
    <row r="562" spans="1:6" x14ac:dyDescent="0.3">
      <c r="A562">
        <v>561</v>
      </c>
      <c r="B562" t="s">
        <v>2162</v>
      </c>
      <c r="C562" t="s">
        <v>7</v>
      </c>
      <c r="D562" s="1" t="s">
        <v>2163</v>
      </c>
      <c r="E562" t="s">
        <v>2164</v>
      </c>
      <c r="F562" t="s">
        <v>2165</v>
      </c>
    </row>
    <row r="563" spans="1:6" x14ac:dyDescent="0.3">
      <c r="A563">
        <v>562</v>
      </c>
      <c r="B563" t="s">
        <v>2166</v>
      </c>
      <c r="C563" t="s">
        <v>7</v>
      </c>
      <c r="D563" s="1" t="s">
        <v>2167</v>
      </c>
      <c r="E563" t="s">
        <v>2168</v>
      </c>
      <c r="F563" t="s">
        <v>2169</v>
      </c>
    </row>
    <row r="564" spans="1:6" x14ac:dyDescent="0.3">
      <c r="A564">
        <v>563</v>
      </c>
      <c r="B564" t="s">
        <v>2170</v>
      </c>
      <c r="C564" t="s">
        <v>11</v>
      </c>
      <c r="D564" s="1" t="s">
        <v>2171</v>
      </c>
      <c r="E564" t="s">
        <v>2172</v>
      </c>
      <c r="F564" t="s">
        <v>2173</v>
      </c>
    </row>
    <row r="565" spans="1:6" x14ac:dyDescent="0.3">
      <c r="A565">
        <v>564</v>
      </c>
      <c r="B565" t="s">
        <v>2174</v>
      </c>
      <c r="C565" t="s">
        <v>32</v>
      </c>
      <c r="D565" s="1" t="s">
        <v>2175</v>
      </c>
      <c r="E565" t="s">
        <v>2176</v>
      </c>
      <c r="F565" t="s">
        <v>2177</v>
      </c>
    </row>
    <row r="566" spans="1:6" x14ac:dyDescent="0.3">
      <c r="A566">
        <v>565</v>
      </c>
      <c r="B566" t="s">
        <v>2178</v>
      </c>
      <c r="C566" t="s">
        <v>7</v>
      </c>
      <c r="D566" s="1" t="s">
        <v>2179</v>
      </c>
      <c r="E566" t="s">
        <v>2180</v>
      </c>
      <c r="F566" t="s">
        <v>2181</v>
      </c>
    </row>
    <row r="567" spans="1:6" x14ac:dyDescent="0.3">
      <c r="A567">
        <v>566</v>
      </c>
      <c r="B567" t="s">
        <v>2182</v>
      </c>
      <c r="C567" t="s">
        <v>45</v>
      </c>
      <c r="D567" s="1" t="s">
        <v>2183</v>
      </c>
      <c r="E567" t="s">
        <v>2184</v>
      </c>
      <c r="F567" t="s">
        <v>2185</v>
      </c>
    </row>
    <row r="568" spans="1:6" x14ac:dyDescent="0.3">
      <c r="A568">
        <v>567</v>
      </c>
      <c r="B568" t="s">
        <v>2186</v>
      </c>
      <c r="C568" t="s">
        <v>45</v>
      </c>
      <c r="D568" s="1" t="s">
        <v>2187</v>
      </c>
      <c r="E568" t="s">
        <v>1925</v>
      </c>
      <c r="F568">
        <v>3857327137</v>
      </c>
    </row>
    <row r="569" spans="1:6" x14ac:dyDescent="0.3">
      <c r="A569">
        <v>568</v>
      </c>
      <c r="B569" t="s">
        <v>2188</v>
      </c>
      <c r="C569" t="s">
        <v>7</v>
      </c>
      <c r="D569" s="1" t="s">
        <v>2189</v>
      </c>
      <c r="E569" t="s">
        <v>2190</v>
      </c>
      <c r="F569" t="s">
        <v>2191</v>
      </c>
    </row>
    <row r="570" spans="1:6" x14ac:dyDescent="0.3">
      <c r="A570">
        <v>569</v>
      </c>
      <c r="B570" t="s">
        <v>2192</v>
      </c>
      <c r="C570" t="s">
        <v>11</v>
      </c>
      <c r="D570" s="1" t="s">
        <v>2193</v>
      </c>
      <c r="E570" t="s">
        <v>2194</v>
      </c>
      <c r="F570" t="s">
        <v>2195</v>
      </c>
    </row>
    <row r="571" spans="1:6" x14ac:dyDescent="0.3">
      <c r="A571">
        <v>570</v>
      </c>
      <c r="B571" t="s">
        <v>2196</v>
      </c>
      <c r="C571" t="s">
        <v>7</v>
      </c>
      <c r="D571" s="1" t="s">
        <v>2197</v>
      </c>
      <c r="E571" t="s">
        <v>2198</v>
      </c>
      <c r="F571" t="s">
        <v>2199</v>
      </c>
    </row>
    <row r="572" spans="1:6" x14ac:dyDescent="0.3">
      <c r="A572">
        <v>571</v>
      </c>
      <c r="B572" t="s">
        <v>2200</v>
      </c>
      <c r="C572" t="s">
        <v>32</v>
      </c>
      <c r="D572" s="1" t="s">
        <v>2201</v>
      </c>
      <c r="E572" t="s">
        <v>2202</v>
      </c>
      <c r="F572">
        <v>4438358279</v>
      </c>
    </row>
    <row r="573" spans="1:6" x14ac:dyDescent="0.3">
      <c r="A573">
        <v>572</v>
      </c>
      <c r="B573" t="s">
        <v>2203</v>
      </c>
      <c r="C573" t="s">
        <v>7</v>
      </c>
      <c r="D573" s="1" t="s">
        <v>2204</v>
      </c>
      <c r="E573" t="s">
        <v>2205</v>
      </c>
      <c r="F573" t="s">
        <v>2206</v>
      </c>
    </row>
    <row r="574" spans="1:6" x14ac:dyDescent="0.3">
      <c r="A574">
        <v>573</v>
      </c>
      <c r="B574" t="s">
        <v>2207</v>
      </c>
      <c r="C574" t="s">
        <v>7</v>
      </c>
      <c r="D574" s="1" t="s">
        <v>2208</v>
      </c>
      <c r="E574" t="s">
        <v>2209</v>
      </c>
      <c r="F574" t="s">
        <v>2210</v>
      </c>
    </row>
    <row r="575" spans="1:6" x14ac:dyDescent="0.3">
      <c r="A575">
        <v>574</v>
      </c>
      <c r="B575" t="s">
        <v>2211</v>
      </c>
      <c r="C575" t="s">
        <v>7</v>
      </c>
      <c r="D575" s="1" t="s">
        <v>2212</v>
      </c>
      <c r="E575" t="s">
        <v>2213</v>
      </c>
      <c r="F575" t="s">
        <v>2214</v>
      </c>
    </row>
    <row r="576" spans="1:6" x14ac:dyDescent="0.3">
      <c r="A576">
        <v>575</v>
      </c>
      <c r="B576" t="s">
        <v>2215</v>
      </c>
      <c r="C576" t="s">
        <v>45</v>
      </c>
      <c r="D576" s="1" t="s">
        <v>2216</v>
      </c>
      <c r="E576" t="s">
        <v>2217</v>
      </c>
      <c r="F576">
        <v>5200035934</v>
      </c>
    </row>
    <row r="577" spans="1:6" x14ac:dyDescent="0.3">
      <c r="A577">
        <v>576</v>
      </c>
      <c r="B577" t="s">
        <v>2218</v>
      </c>
      <c r="C577" t="s">
        <v>45</v>
      </c>
      <c r="D577" s="1" t="s">
        <v>2219</v>
      </c>
      <c r="E577" t="s">
        <v>2220</v>
      </c>
      <c r="F577" t="s">
        <v>2221</v>
      </c>
    </row>
    <row r="578" spans="1:6" x14ac:dyDescent="0.3">
      <c r="A578">
        <v>577</v>
      </c>
      <c r="B578" t="s">
        <v>2222</v>
      </c>
      <c r="C578" t="s">
        <v>45</v>
      </c>
      <c r="D578" s="1" t="s">
        <v>2223</v>
      </c>
      <c r="E578" t="s">
        <v>2224</v>
      </c>
      <c r="F578" t="s">
        <v>2225</v>
      </c>
    </row>
    <row r="579" spans="1:6" x14ac:dyDescent="0.3">
      <c r="A579">
        <v>578</v>
      </c>
      <c r="B579" t="s">
        <v>2226</v>
      </c>
      <c r="C579" t="s">
        <v>45</v>
      </c>
      <c r="D579" s="1" t="s">
        <v>2227</v>
      </c>
      <c r="E579" t="s">
        <v>2228</v>
      </c>
      <c r="F579" t="s">
        <v>2229</v>
      </c>
    </row>
    <row r="580" spans="1:6" x14ac:dyDescent="0.3">
      <c r="A580">
        <v>579</v>
      </c>
      <c r="B580" t="s">
        <v>2230</v>
      </c>
      <c r="C580" t="s">
        <v>45</v>
      </c>
      <c r="D580" s="1" t="s">
        <v>2231</v>
      </c>
      <c r="E580" t="s">
        <v>2232</v>
      </c>
      <c r="F580" t="s">
        <v>2233</v>
      </c>
    </row>
    <row r="581" spans="1:6" x14ac:dyDescent="0.3">
      <c r="A581">
        <v>580</v>
      </c>
      <c r="B581" t="s">
        <v>2234</v>
      </c>
      <c r="C581" t="s">
        <v>32</v>
      </c>
      <c r="D581" s="1" t="s">
        <v>2235</v>
      </c>
      <c r="E581" t="s">
        <v>2236</v>
      </c>
      <c r="F581" t="s">
        <v>2237</v>
      </c>
    </row>
    <row r="582" spans="1:6" x14ac:dyDescent="0.3">
      <c r="A582">
        <v>581</v>
      </c>
      <c r="B582" t="s">
        <v>2238</v>
      </c>
      <c r="C582" t="s">
        <v>11</v>
      </c>
      <c r="D582" s="1" t="s">
        <v>2239</v>
      </c>
      <c r="E582" t="s">
        <v>2240</v>
      </c>
      <c r="F582" t="s">
        <v>2241</v>
      </c>
    </row>
    <row r="583" spans="1:6" x14ac:dyDescent="0.3">
      <c r="A583">
        <v>582</v>
      </c>
      <c r="B583" t="s">
        <v>2242</v>
      </c>
      <c r="C583" t="s">
        <v>11</v>
      </c>
      <c r="D583" s="1" t="s">
        <v>2243</v>
      </c>
      <c r="E583" t="s">
        <v>2244</v>
      </c>
      <c r="F583" t="s">
        <v>2245</v>
      </c>
    </row>
    <row r="584" spans="1:6" x14ac:dyDescent="0.3">
      <c r="A584">
        <v>583</v>
      </c>
      <c r="B584" t="s">
        <v>2246</v>
      </c>
      <c r="C584" t="s">
        <v>45</v>
      </c>
      <c r="D584" s="1" t="s">
        <v>2247</v>
      </c>
      <c r="E584" t="s">
        <v>2248</v>
      </c>
      <c r="F584" t="s">
        <v>2249</v>
      </c>
    </row>
    <row r="585" spans="1:6" x14ac:dyDescent="0.3">
      <c r="A585">
        <v>584</v>
      </c>
      <c r="B585" t="s">
        <v>2250</v>
      </c>
      <c r="C585" t="s">
        <v>7</v>
      </c>
      <c r="D585" s="1" t="s">
        <v>2251</v>
      </c>
      <c r="E585" t="s">
        <v>2252</v>
      </c>
      <c r="F585" t="s">
        <v>2253</v>
      </c>
    </row>
    <row r="586" spans="1:6" x14ac:dyDescent="0.3">
      <c r="A586">
        <v>585</v>
      </c>
      <c r="B586" t="s">
        <v>2254</v>
      </c>
      <c r="C586" t="s">
        <v>11</v>
      </c>
      <c r="D586" s="1" t="s">
        <v>2255</v>
      </c>
      <c r="E586" t="s">
        <v>2256</v>
      </c>
      <c r="F586" t="s">
        <v>2257</v>
      </c>
    </row>
    <row r="587" spans="1:6" x14ac:dyDescent="0.3">
      <c r="A587">
        <v>586</v>
      </c>
      <c r="B587" t="s">
        <v>2258</v>
      </c>
      <c r="C587" t="s">
        <v>7</v>
      </c>
      <c r="D587" s="1" t="s">
        <v>2259</v>
      </c>
      <c r="E587" t="s">
        <v>2260</v>
      </c>
      <c r="F587">
        <f>1-25-297-385</f>
        <v>-706</v>
      </c>
    </row>
    <row r="588" spans="1:6" x14ac:dyDescent="0.3">
      <c r="A588">
        <v>587</v>
      </c>
      <c r="B588" t="s">
        <v>2261</v>
      </c>
      <c r="C588" t="s">
        <v>32</v>
      </c>
      <c r="D588" s="1" t="s">
        <v>2262</v>
      </c>
      <c r="E588" t="s">
        <v>2263</v>
      </c>
      <c r="F588">
        <v>4142908031</v>
      </c>
    </row>
    <row r="589" spans="1:6" x14ac:dyDescent="0.3">
      <c r="A589">
        <v>588</v>
      </c>
      <c r="B589" t="s">
        <v>2264</v>
      </c>
      <c r="C589" t="s">
        <v>11</v>
      </c>
      <c r="D589" s="1" t="s">
        <v>2265</v>
      </c>
      <c r="E589" t="s">
        <v>2266</v>
      </c>
      <c r="F589" t="s">
        <v>2267</v>
      </c>
    </row>
    <row r="590" spans="1:6" x14ac:dyDescent="0.3">
      <c r="A590">
        <v>589</v>
      </c>
      <c r="B590" t="s">
        <v>2268</v>
      </c>
      <c r="C590" t="s">
        <v>32</v>
      </c>
      <c r="D590" s="1" t="s">
        <v>2269</v>
      </c>
      <c r="E590" t="s">
        <v>2270</v>
      </c>
      <c r="F590" t="s">
        <v>2271</v>
      </c>
    </row>
    <row r="591" spans="1:6" x14ac:dyDescent="0.3">
      <c r="A591">
        <v>590</v>
      </c>
      <c r="B591" t="s">
        <v>2272</v>
      </c>
      <c r="C591" t="s">
        <v>11</v>
      </c>
      <c r="D591" s="1" t="s">
        <v>2273</v>
      </c>
      <c r="E591" t="s">
        <v>2274</v>
      </c>
      <c r="F591">
        <f>1-483-651-5816</f>
        <v>-6949</v>
      </c>
    </row>
    <row r="592" spans="1:6" x14ac:dyDescent="0.3">
      <c r="A592">
        <v>591</v>
      </c>
      <c r="B592" t="s">
        <v>2275</v>
      </c>
      <c r="C592" t="s">
        <v>11</v>
      </c>
      <c r="D592" s="1" t="s">
        <v>2276</v>
      </c>
      <c r="E592" t="s">
        <v>2277</v>
      </c>
      <c r="F592" t="s">
        <v>2278</v>
      </c>
    </row>
    <row r="593" spans="1:6" x14ac:dyDescent="0.3">
      <c r="A593">
        <v>592</v>
      </c>
      <c r="B593" t="s">
        <v>2279</v>
      </c>
      <c r="C593" t="s">
        <v>32</v>
      </c>
      <c r="D593" s="1" t="s">
        <v>2280</v>
      </c>
      <c r="E593" t="s">
        <v>2281</v>
      </c>
      <c r="F593" t="s">
        <v>2282</v>
      </c>
    </row>
    <row r="594" spans="1:6" x14ac:dyDescent="0.3">
      <c r="A594">
        <v>593</v>
      </c>
      <c r="B594" t="s">
        <v>2283</v>
      </c>
      <c r="C594" t="s">
        <v>11</v>
      </c>
      <c r="D594" s="1" t="s">
        <v>2284</v>
      </c>
      <c r="E594" t="s">
        <v>2285</v>
      </c>
      <c r="F594" t="s">
        <v>2286</v>
      </c>
    </row>
    <row r="595" spans="1:6" x14ac:dyDescent="0.3">
      <c r="A595">
        <v>594</v>
      </c>
      <c r="B595" t="s">
        <v>2287</v>
      </c>
      <c r="C595" t="s">
        <v>11</v>
      </c>
      <c r="D595" s="1" t="s">
        <v>2288</v>
      </c>
      <c r="E595" t="s">
        <v>2289</v>
      </c>
      <c r="F595" t="s">
        <v>2290</v>
      </c>
    </row>
    <row r="596" spans="1:6" x14ac:dyDescent="0.3">
      <c r="A596">
        <v>595</v>
      </c>
      <c r="B596" t="s">
        <v>2291</v>
      </c>
      <c r="C596" t="s">
        <v>11</v>
      </c>
      <c r="D596" s="1" t="s">
        <v>2292</v>
      </c>
      <c r="E596" t="s">
        <v>2293</v>
      </c>
      <c r="F596" t="s">
        <v>2294</v>
      </c>
    </row>
    <row r="597" spans="1:6" x14ac:dyDescent="0.3">
      <c r="A597">
        <v>596</v>
      </c>
      <c r="B597" t="s">
        <v>2295</v>
      </c>
      <c r="C597" t="s">
        <v>32</v>
      </c>
      <c r="D597" s="1" t="s">
        <v>2296</v>
      </c>
      <c r="E597" t="s">
        <v>2297</v>
      </c>
      <c r="F597" t="s">
        <v>2298</v>
      </c>
    </row>
    <row r="598" spans="1:6" x14ac:dyDescent="0.3">
      <c r="A598">
        <v>597</v>
      </c>
      <c r="B598" t="s">
        <v>1535</v>
      </c>
      <c r="C598" t="s">
        <v>7</v>
      </c>
      <c r="D598" s="1" t="s">
        <v>2299</v>
      </c>
      <c r="E598" t="s">
        <v>2300</v>
      </c>
      <c r="F598">
        <v>2169420064</v>
      </c>
    </row>
    <row r="599" spans="1:6" x14ac:dyDescent="0.3">
      <c r="A599">
        <v>598</v>
      </c>
      <c r="B599" t="s">
        <v>2301</v>
      </c>
      <c r="C599" t="s">
        <v>32</v>
      </c>
      <c r="D599" s="1" t="s">
        <v>2302</v>
      </c>
      <c r="E599" t="s">
        <v>2303</v>
      </c>
      <c r="F599" t="s">
        <v>2304</v>
      </c>
    </row>
    <row r="600" spans="1:6" x14ac:dyDescent="0.3">
      <c r="A600">
        <v>599</v>
      </c>
      <c r="B600" t="s">
        <v>2305</v>
      </c>
      <c r="C600" t="s">
        <v>32</v>
      </c>
      <c r="D600" s="1" t="s">
        <v>2306</v>
      </c>
      <c r="E600" t="s">
        <v>2307</v>
      </c>
      <c r="F600" t="s">
        <v>2308</v>
      </c>
    </row>
    <row r="601" spans="1:6" x14ac:dyDescent="0.3">
      <c r="A601">
        <v>600</v>
      </c>
      <c r="B601" t="s">
        <v>2309</v>
      </c>
      <c r="C601" t="s">
        <v>45</v>
      </c>
      <c r="D601" s="1" t="s">
        <v>2310</v>
      </c>
      <c r="E601" t="s">
        <v>2311</v>
      </c>
      <c r="F601" t="s">
        <v>2312</v>
      </c>
    </row>
    <row r="602" spans="1:6" x14ac:dyDescent="0.3">
      <c r="A602">
        <v>601</v>
      </c>
      <c r="B602" t="s">
        <v>2313</v>
      </c>
      <c r="C602" t="s">
        <v>45</v>
      </c>
      <c r="D602" s="1" t="s">
        <v>2314</v>
      </c>
      <c r="E602" t="s">
        <v>2315</v>
      </c>
      <c r="F602" t="s">
        <v>2316</v>
      </c>
    </row>
    <row r="603" spans="1:6" x14ac:dyDescent="0.3">
      <c r="A603">
        <v>602</v>
      </c>
      <c r="B603" t="s">
        <v>2317</v>
      </c>
      <c r="C603" t="s">
        <v>11</v>
      </c>
      <c r="D603" s="1" t="s">
        <v>2318</v>
      </c>
      <c r="E603" t="s">
        <v>2319</v>
      </c>
      <c r="F603" t="s">
        <v>2320</v>
      </c>
    </row>
    <row r="604" spans="1:6" x14ac:dyDescent="0.3">
      <c r="A604">
        <v>603</v>
      </c>
      <c r="B604" t="s">
        <v>2321</v>
      </c>
      <c r="C604" t="s">
        <v>32</v>
      </c>
      <c r="D604" s="1" t="s">
        <v>2322</v>
      </c>
      <c r="E604" t="s">
        <v>2323</v>
      </c>
      <c r="F604" t="s">
        <v>2324</v>
      </c>
    </row>
    <row r="605" spans="1:6" x14ac:dyDescent="0.3">
      <c r="A605">
        <v>604</v>
      </c>
      <c r="B605" t="s">
        <v>2325</v>
      </c>
      <c r="C605" t="s">
        <v>7</v>
      </c>
      <c r="D605" s="1" t="s">
        <v>2326</v>
      </c>
      <c r="E605" t="s">
        <v>475</v>
      </c>
      <c r="F605" t="s">
        <v>2327</v>
      </c>
    </row>
    <row r="606" spans="1:6" x14ac:dyDescent="0.3">
      <c r="A606">
        <v>605</v>
      </c>
      <c r="B606" t="s">
        <v>2328</v>
      </c>
      <c r="C606" t="s">
        <v>45</v>
      </c>
      <c r="D606" s="1" t="s">
        <v>2329</v>
      </c>
      <c r="E606" t="s">
        <v>2330</v>
      </c>
      <c r="F606">
        <v>841228942</v>
      </c>
    </row>
    <row r="607" spans="1:6" x14ac:dyDescent="0.3">
      <c r="A607">
        <v>606</v>
      </c>
      <c r="B607" t="s">
        <v>2331</v>
      </c>
      <c r="C607" t="s">
        <v>11</v>
      </c>
      <c r="D607" s="1" t="s">
        <v>2332</v>
      </c>
      <c r="E607" t="s">
        <v>2333</v>
      </c>
      <c r="F607" t="s">
        <v>2334</v>
      </c>
    </row>
    <row r="608" spans="1:6" x14ac:dyDescent="0.3">
      <c r="A608">
        <v>607</v>
      </c>
      <c r="B608" t="s">
        <v>2335</v>
      </c>
      <c r="C608" t="s">
        <v>7</v>
      </c>
      <c r="D608" s="1" t="s">
        <v>2336</v>
      </c>
      <c r="E608" t="s">
        <v>2337</v>
      </c>
      <c r="F608" t="s">
        <v>2338</v>
      </c>
    </row>
    <row r="609" spans="1:6" x14ac:dyDescent="0.3">
      <c r="A609">
        <v>608</v>
      </c>
      <c r="B609" t="s">
        <v>2339</v>
      </c>
      <c r="C609" t="s">
        <v>11</v>
      </c>
      <c r="D609" s="1" t="s">
        <v>2340</v>
      </c>
      <c r="E609" t="s">
        <v>2341</v>
      </c>
      <c r="F609" t="s">
        <v>2342</v>
      </c>
    </row>
    <row r="610" spans="1:6" x14ac:dyDescent="0.3">
      <c r="A610">
        <v>609</v>
      </c>
      <c r="B610" t="s">
        <v>2343</v>
      </c>
      <c r="C610" t="s">
        <v>32</v>
      </c>
      <c r="D610" s="1" t="s">
        <v>2344</v>
      </c>
      <c r="E610" t="s">
        <v>1328</v>
      </c>
      <c r="F610" t="s">
        <v>2345</v>
      </c>
    </row>
    <row r="611" spans="1:6" x14ac:dyDescent="0.3">
      <c r="A611">
        <v>610</v>
      </c>
      <c r="B611" t="s">
        <v>2346</v>
      </c>
      <c r="C611" t="s">
        <v>7</v>
      </c>
      <c r="D611" s="1" t="s">
        <v>2347</v>
      </c>
      <c r="E611" t="s">
        <v>2348</v>
      </c>
      <c r="F611" t="s">
        <v>2349</v>
      </c>
    </row>
    <row r="612" spans="1:6" x14ac:dyDescent="0.3">
      <c r="A612">
        <v>611</v>
      </c>
      <c r="B612" t="s">
        <v>2350</v>
      </c>
      <c r="C612" t="s">
        <v>7</v>
      </c>
      <c r="D612" s="1" t="s">
        <v>2351</v>
      </c>
      <c r="E612" t="s">
        <v>2352</v>
      </c>
      <c r="F612" t="s">
        <v>2353</v>
      </c>
    </row>
    <row r="613" spans="1:6" x14ac:dyDescent="0.3">
      <c r="A613">
        <v>612</v>
      </c>
      <c r="B613" t="s">
        <v>2354</v>
      </c>
      <c r="C613" t="s">
        <v>11</v>
      </c>
      <c r="D613" s="1" t="s">
        <v>2355</v>
      </c>
      <c r="E613" t="s">
        <v>2356</v>
      </c>
      <c r="F613" t="s">
        <v>2357</v>
      </c>
    </row>
    <row r="614" spans="1:6" x14ac:dyDescent="0.3">
      <c r="A614">
        <v>613</v>
      </c>
      <c r="B614" t="s">
        <v>2358</v>
      </c>
      <c r="C614" t="s">
        <v>11</v>
      </c>
      <c r="D614" s="1" t="s">
        <v>2359</v>
      </c>
      <c r="E614" t="s">
        <v>2360</v>
      </c>
      <c r="F614">
        <v>2499148837</v>
      </c>
    </row>
    <row r="615" spans="1:6" x14ac:dyDescent="0.3">
      <c r="A615">
        <v>614</v>
      </c>
      <c r="B615" t="s">
        <v>2361</v>
      </c>
      <c r="C615" t="s">
        <v>7</v>
      </c>
      <c r="D615" s="1" t="s">
        <v>2362</v>
      </c>
      <c r="E615" t="s">
        <v>2363</v>
      </c>
      <c r="F615" t="s">
        <v>2364</v>
      </c>
    </row>
    <row r="616" spans="1:6" x14ac:dyDescent="0.3">
      <c r="A616">
        <v>615</v>
      </c>
      <c r="B616" t="s">
        <v>2365</v>
      </c>
      <c r="C616" t="s">
        <v>11</v>
      </c>
      <c r="D616" s="1" t="s">
        <v>2366</v>
      </c>
      <c r="E616" t="s">
        <v>2367</v>
      </c>
      <c r="F616">
        <v>1288966674</v>
      </c>
    </row>
    <row r="617" spans="1:6" x14ac:dyDescent="0.3">
      <c r="A617">
        <v>616</v>
      </c>
      <c r="B617" t="s">
        <v>2368</v>
      </c>
      <c r="C617" t="s">
        <v>32</v>
      </c>
      <c r="D617" s="1" t="s">
        <v>2369</v>
      </c>
      <c r="E617" t="s">
        <v>2370</v>
      </c>
      <c r="F617" t="s">
        <v>2371</v>
      </c>
    </row>
    <row r="618" spans="1:6" x14ac:dyDescent="0.3">
      <c r="A618">
        <v>617</v>
      </c>
      <c r="B618" t="s">
        <v>2372</v>
      </c>
      <c r="C618" t="s">
        <v>32</v>
      </c>
      <c r="D618" s="1" t="s">
        <v>2373</v>
      </c>
      <c r="E618" t="s">
        <v>2095</v>
      </c>
      <c r="F618" t="s">
        <v>2374</v>
      </c>
    </row>
    <row r="619" spans="1:6" x14ac:dyDescent="0.3">
      <c r="A619">
        <v>618</v>
      </c>
      <c r="B619" t="s">
        <v>2375</v>
      </c>
      <c r="C619" t="s">
        <v>32</v>
      </c>
      <c r="D619" s="1" t="s">
        <v>2376</v>
      </c>
      <c r="E619" t="s">
        <v>2377</v>
      </c>
      <c r="F619" t="s">
        <v>2378</v>
      </c>
    </row>
    <row r="620" spans="1:6" x14ac:dyDescent="0.3">
      <c r="A620">
        <v>619</v>
      </c>
      <c r="B620" t="s">
        <v>2379</v>
      </c>
      <c r="C620" t="s">
        <v>11</v>
      </c>
      <c r="D620" s="1" t="s">
        <v>2380</v>
      </c>
      <c r="E620" t="s">
        <v>2381</v>
      </c>
      <c r="F620" t="s">
        <v>2382</v>
      </c>
    </row>
    <row r="621" spans="1:6" x14ac:dyDescent="0.3">
      <c r="A621">
        <v>620</v>
      </c>
      <c r="B621" t="s">
        <v>2383</v>
      </c>
      <c r="C621" t="s">
        <v>32</v>
      </c>
      <c r="D621" s="1" t="s">
        <v>2384</v>
      </c>
      <c r="E621" t="s">
        <v>2385</v>
      </c>
      <c r="F621" t="s">
        <v>2386</v>
      </c>
    </row>
    <row r="622" spans="1:6" x14ac:dyDescent="0.3">
      <c r="A622">
        <v>621</v>
      </c>
      <c r="B622" t="s">
        <v>2387</v>
      </c>
      <c r="C622" t="s">
        <v>7</v>
      </c>
      <c r="D622" s="1" t="s">
        <v>2388</v>
      </c>
      <c r="E622" t="s">
        <v>2389</v>
      </c>
      <c r="F622" t="s">
        <v>2390</v>
      </c>
    </row>
    <row r="623" spans="1:6" x14ac:dyDescent="0.3">
      <c r="A623">
        <v>622</v>
      </c>
      <c r="B623" t="s">
        <v>2391</v>
      </c>
      <c r="C623" t="s">
        <v>45</v>
      </c>
      <c r="D623" s="1" t="s">
        <v>2392</v>
      </c>
      <c r="E623" t="s">
        <v>2393</v>
      </c>
      <c r="F623">
        <v>8503009206</v>
      </c>
    </row>
    <row r="624" spans="1:6" x14ac:dyDescent="0.3">
      <c r="A624">
        <v>623</v>
      </c>
      <c r="B624" t="s">
        <v>2394</v>
      </c>
      <c r="C624" t="s">
        <v>7</v>
      </c>
      <c r="D624" s="1" t="s">
        <v>2395</v>
      </c>
      <c r="E624" t="s">
        <v>2396</v>
      </c>
      <c r="F624" t="s">
        <v>2397</v>
      </c>
    </row>
    <row r="625" spans="1:6" x14ac:dyDescent="0.3">
      <c r="A625">
        <v>624</v>
      </c>
      <c r="B625" t="s">
        <v>2398</v>
      </c>
      <c r="C625" t="s">
        <v>11</v>
      </c>
      <c r="D625" s="1" t="s">
        <v>2399</v>
      </c>
      <c r="E625" t="s">
        <v>2400</v>
      </c>
      <c r="F625">
        <v>4804280968</v>
      </c>
    </row>
    <row r="626" spans="1:6" x14ac:dyDescent="0.3">
      <c r="A626">
        <v>625</v>
      </c>
      <c r="B626" t="s">
        <v>2401</v>
      </c>
      <c r="C626" t="s">
        <v>11</v>
      </c>
      <c r="D626" s="1" t="s">
        <v>2402</v>
      </c>
      <c r="E626" t="s">
        <v>2403</v>
      </c>
      <c r="F626" t="s">
        <v>2404</v>
      </c>
    </row>
    <row r="627" spans="1:6" x14ac:dyDescent="0.3">
      <c r="A627">
        <v>626</v>
      </c>
      <c r="B627" t="s">
        <v>2405</v>
      </c>
      <c r="C627" t="s">
        <v>7</v>
      </c>
      <c r="D627" s="1" t="s">
        <v>2406</v>
      </c>
      <c r="E627" t="s">
        <v>2407</v>
      </c>
      <c r="F627" t="s">
        <v>2408</v>
      </c>
    </row>
    <row r="628" spans="1:6" x14ac:dyDescent="0.3">
      <c r="A628">
        <v>627</v>
      </c>
      <c r="B628" t="s">
        <v>2409</v>
      </c>
      <c r="C628" t="s">
        <v>32</v>
      </c>
      <c r="D628" s="1" t="s">
        <v>2410</v>
      </c>
      <c r="E628" t="s">
        <v>2411</v>
      </c>
      <c r="F628" t="s">
        <v>2412</v>
      </c>
    </row>
    <row r="629" spans="1:6" x14ac:dyDescent="0.3">
      <c r="A629">
        <v>628</v>
      </c>
      <c r="B629" t="s">
        <v>2413</v>
      </c>
      <c r="C629" t="s">
        <v>45</v>
      </c>
      <c r="D629" s="1" t="s">
        <v>2414</v>
      </c>
      <c r="E629" t="s">
        <v>2415</v>
      </c>
      <c r="F629" t="s">
        <v>2416</v>
      </c>
    </row>
    <row r="630" spans="1:6" x14ac:dyDescent="0.3">
      <c r="A630">
        <v>629</v>
      </c>
      <c r="B630" t="s">
        <v>2417</v>
      </c>
      <c r="C630" t="s">
        <v>11</v>
      </c>
      <c r="D630" s="1" t="s">
        <v>2418</v>
      </c>
      <c r="E630" t="s">
        <v>2419</v>
      </c>
      <c r="F630" t="s">
        <v>2420</v>
      </c>
    </row>
    <row r="631" spans="1:6" x14ac:dyDescent="0.3">
      <c r="A631">
        <v>630</v>
      </c>
      <c r="B631" t="s">
        <v>2421</v>
      </c>
      <c r="C631" t="s">
        <v>45</v>
      </c>
      <c r="D631" s="1" t="s">
        <v>2422</v>
      </c>
      <c r="E631" t="s">
        <v>2423</v>
      </c>
      <c r="F631" t="s">
        <v>2424</v>
      </c>
    </row>
    <row r="632" spans="1:6" x14ac:dyDescent="0.3">
      <c r="A632">
        <v>631</v>
      </c>
      <c r="B632" t="s">
        <v>2425</v>
      </c>
      <c r="C632" t="s">
        <v>7</v>
      </c>
      <c r="D632" s="1" t="s">
        <v>2426</v>
      </c>
      <c r="E632" t="s">
        <v>236</v>
      </c>
      <c r="F632" t="s">
        <v>2427</v>
      </c>
    </row>
    <row r="633" spans="1:6" x14ac:dyDescent="0.3">
      <c r="A633">
        <v>632</v>
      </c>
      <c r="B633" t="s">
        <v>2428</v>
      </c>
      <c r="C633" t="s">
        <v>7</v>
      </c>
      <c r="D633" s="1" t="s">
        <v>2429</v>
      </c>
      <c r="E633" t="s">
        <v>2430</v>
      </c>
      <c r="F633" t="s">
        <v>2431</v>
      </c>
    </row>
    <row r="634" spans="1:6" x14ac:dyDescent="0.3">
      <c r="A634">
        <v>633</v>
      </c>
      <c r="B634" t="s">
        <v>2432</v>
      </c>
      <c r="C634" t="s">
        <v>11</v>
      </c>
      <c r="D634" s="1" t="s">
        <v>2433</v>
      </c>
      <c r="E634" t="s">
        <v>2434</v>
      </c>
      <c r="F634" t="s">
        <v>2435</v>
      </c>
    </row>
    <row r="635" spans="1:6" x14ac:dyDescent="0.3">
      <c r="A635">
        <v>634</v>
      </c>
      <c r="B635" t="s">
        <v>2436</v>
      </c>
      <c r="C635" t="s">
        <v>7</v>
      </c>
      <c r="D635" s="1" t="s">
        <v>2437</v>
      </c>
      <c r="E635" t="s">
        <v>2438</v>
      </c>
      <c r="F635" t="s">
        <v>2439</v>
      </c>
    </row>
    <row r="636" spans="1:6" x14ac:dyDescent="0.3">
      <c r="A636">
        <v>635</v>
      </c>
      <c r="B636" t="s">
        <v>2440</v>
      </c>
      <c r="C636" t="s">
        <v>45</v>
      </c>
      <c r="D636" s="1" t="s">
        <v>2441</v>
      </c>
      <c r="E636" t="s">
        <v>2442</v>
      </c>
      <c r="F636" t="s">
        <v>2443</v>
      </c>
    </row>
    <row r="637" spans="1:6" x14ac:dyDescent="0.3">
      <c r="A637">
        <v>636</v>
      </c>
      <c r="B637" t="s">
        <v>2444</v>
      </c>
      <c r="C637" t="s">
        <v>11</v>
      </c>
      <c r="D637" s="1" t="s">
        <v>2445</v>
      </c>
      <c r="E637" t="s">
        <v>2446</v>
      </c>
      <c r="F637" t="s">
        <v>2447</v>
      </c>
    </row>
    <row r="638" spans="1:6" x14ac:dyDescent="0.3">
      <c r="A638">
        <v>637</v>
      </c>
      <c r="B638" t="s">
        <v>2448</v>
      </c>
      <c r="C638" t="s">
        <v>11</v>
      </c>
      <c r="D638" s="1" t="s">
        <v>2449</v>
      </c>
      <c r="E638" t="s">
        <v>2450</v>
      </c>
      <c r="F638" t="s">
        <v>2451</v>
      </c>
    </row>
    <row r="639" spans="1:6" x14ac:dyDescent="0.3">
      <c r="A639">
        <v>638</v>
      </c>
      <c r="B639" t="s">
        <v>2452</v>
      </c>
      <c r="C639" t="s">
        <v>32</v>
      </c>
      <c r="D639" s="1" t="s">
        <v>2453</v>
      </c>
      <c r="E639" t="s">
        <v>2454</v>
      </c>
      <c r="F639" t="s">
        <v>2455</v>
      </c>
    </row>
    <row r="640" spans="1:6" x14ac:dyDescent="0.3">
      <c r="A640">
        <v>639</v>
      </c>
      <c r="B640" t="s">
        <v>2456</v>
      </c>
      <c r="C640" t="s">
        <v>7</v>
      </c>
      <c r="D640" s="1" t="s">
        <v>2457</v>
      </c>
      <c r="E640" t="s">
        <v>2458</v>
      </c>
      <c r="F640" t="s">
        <v>2459</v>
      </c>
    </row>
    <row r="641" spans="1:6" x14ac:dyDescent="0.3">
      <c r="A641">
        <v>640</v>
      </c>
      <c r="B641" t="s">
        <v>2460</v>
      </c>
      <c r="C641" t="s">
        <v>11</v>
      </c>
      <c r="D641" s="1" t="s">
        <v>2461</v>
      </c>
      <c r="E641" t="s">
        <v>2462</v>
      </c>
      <c r="F641" t="s">
        <v>2463</v>
      </c>
    </row>
    <row r="642" spans="1:6" x14ac:dyDescent="0.3">
      <c r="A642">
        <v>641</v>
      </c>
      <c r="B642" t="s">
        <v>2464</v>
      </c>
      <c r="C642" t="s">
        <v>7</v>
      </c>
      <c r="D642" s="1" t="s">
        <v>2465</v>
      </c>
      <c r="E642" t="s">
        <v>2285</v>
      </c>
      <c r="F642">
        <f>1-554-290-96</f>
        <v>-939</v>
      </c>
    </row>
    <row r="643" spans="1:6" x14ac:dyDescent="0.3">
      <c r="A643">
        <v>642</v>
      </c>
      <c r="B643" t="s">
        <v>2466</v>
      </c>
      <c r="C643" t="s">
        <v>45</v>
      </c>
      <c r="D643" s="1" t="s">
        <v>2467</v>
      </c>
      <c r="E643" t="s">
        <v>2468</v>
      </c>
      <c r="F643" t="s">
        <v>2469</v>
      </c>
    </row>
    <row r="644" spans="1:6" x14ac:dyDescent="0.3">
      <c r="A644">
        <v>643</v>
      </c>
      <c r="B644" t="s">
        <v>2470</v>
      </c>
      <c r="C644" t="s">
        <v>7</v>
      </c>
      <c r="D644" s="1" t="s">
        <v>2471</v>
      </c>
      <c r="E644" t="s">
        <v>2472</v>
      </c>
      <c r="F644" t="s">
        <v>2473</v>
      </c>
    </row>
    <row r="645" spans="1:6" x14ac:dyDescent="0.3">
      <c r="A645">
        <v>644</v>
      </c>
      <c r="B645" t="s">
        <v>2474</v>
      </c>
      <c r="C645" t="s">
        <v>32</v>
      </c>
      <c r="D645" s="1" t="s">
        <v>2475</v>
      </c>
      <c r="E645" t="s">
        <v>2476</v>
      </c>
      <c r="F645" t="s">
        <v>2477</v>
      </c>
    </row>
    <row r="646" spans="1:6" x14ac:dyDescent="0.3">
      <c r="A646">
        <v>645</v>
      </c>
      <c r="B646" t="s">
        <v>2478</v>
      </c>
      <c r="C646" t="s">
        <v>45</v>
      </c>
      <c r="D646" s="1" t="s">
        <v>2479</v>
      </c>
      <c r="E646" t="s">
        <v>2480</v>
      </c>
      <c r="F646" t="s">
        <v>2481</v>
      </c>
    </row>
    <row r="647" spans="1:6" x14ac:dyDescent="0.3">
      <c r="A647">
        <v>646</v>
      </c>
      <c r="B647" t="s">
        <v>2482</v>
      </c>
      <c r="C647" t="s">
        <v>32</v>
      </c>
      <c r="D647" s="1" t="s">
        <v>2483</v>
      </c>
      <c r="E647" t="s">
        <v>2484</v>
      </c>
      <c r="F647" t="s">
        <v>2485</v>
      </c>
    </row>
    <row r="648" spans="1:6" x14ac:dyDescent="0.3">
      <c r="A648">
        <v>647</v>
      </c>
      <c r="B648" t="s">
        <v>2486</v>
      </c>
      <c r="C648" t="s">
        <v>32</v>
      </c>
      <c r="D648" s="1" t="s">
        <v>2487</v>
      </c>
      <c r="E648" t="s">
        <v>2488</v>
      </c>
      <c r="F648" t="s">
        <v>2489</v>
      </c>
    </row>
    <row r="649" spans="1:6" x14ac:dyDescent="0.3">
      <c r="A649">
        <v>648</v>
      </c>
      <c r="B649" t="s">
        <v>2490</v>
      </c>
      <c r="C649" t="s">
        <v>32</v>
      </c>
      <c r="D649" s="1" t="s">
        <v>2491</v>
      </c>
      <c r="E649" t="s">
        <v>2492</v>
      </c>
      <c r="F649" t="s">
        <v>2493</v>
      </c>
    </row>
    <row r="650" spans="1:6" x14ac:dyDescent="0.3">
      <c r="A650">
        <v>649</v>
      </c>
      <c r="B650" t="s">
        <v>69</v>
      </c>
      <c r="C650" t="s">
        <v>32</v>
      </c>
      <c r="D650" s="1" t="s">
        <v>2494</v>
      </c>
      <c r="E650" t="s">
        <v>1657</v>
      </c>
      <c r="F650" t="s">
        <v>2495</v>
      </c>
    </row>
    <row r="651" spans="1:6" x14ac:dyDescent="0.3">
      <c r="A651">
        <v>650</v>
      </c>
      <c r="B651" t="s">
        <v>2496</v>
      </c>
      <c r="C651" t="s">
        <v>32</v>
      </c>
      <c r="D651" s="1" t="s">
        <v>2497</v>
      </c>
      <c r="E651" t="s">
        <v>2498</v>
      </c>
      <c r="F651" t="s">
        <v>2499</v>
      </c>
    </row>
    <row r="652" spans="1:6" x14ac:dyDescent="0.3">
      <c r="A652">
        <v>651</v>
      </c>
      <c r="B652" t="s">
        <v>858</v>
      </c>
      <c r="C652" t="s">
        <v>7</v>
      </c>
      <c r="D652" s="1" t="s">
        <v>2500</v>
      </c>
      <c r="E652" t="s">
        <v>2501</v>
      </c>
      <c r="F652" t="s">
        <v>2502</v>
      </c>
    </row>
    <row r="653" spans="1:6" x14ac:dyDescent="0.3">
      <c r="A653">
        <v>652</v>
      </c>
      <c r="B653" t="s">
        <v>2503</v>
      </c>
      <c r="C653" t="s">
        <v>45</v>
      </c>
      <c r="D653" s="1" t="s">
        <v>2504</v>
      </c>
      <c r="E653" t="s">
        <v>2505</v>
      </c>
      <c r="F653" t="s">
        <v>2506</v>
      </c>
    </row>
    <row r="654" spans="1:6" x14ac:dyDescent="0.3">
      <c r="A654">
        <v>653</v>
      </c>
      <c r="B654" t="s">
        <v>2507</v>
      </c>
      <c r="C654" t="s">
        <v>45</v>
      </c>
      <c r="D654" s="1" t="s">
        <v>2508</v>
      </c>
      <c r="E654" t="s">
        <v>2509</v>
      </c>
      <c r="F654" t="s">
        <v>2510</v>
      </c>
    </row>
    <row r="655" spans="1:6" x14ac:dyDescent="0.3">
      <c r="A655">
        <v>654</v>
      </c>
      <c r="B655" t="s">
        <v>2511</v>
      </c>
      <c r="C655" t="s">
        <v>7</v>
      </c>
      <c r="D655" s="1" t="s">
        <v>2512</v>
      </c>
      <c r="E655" t="s">
        <v>2513</v>
      </c>
      <c r="F655">
        <f>1-858-989-2963</f>
        <v>-4809</v>
      </c>
    </row>
    <row r="656" spans="1:6" x14ac:dyDescent="0.3">
      <c r="A656">
        <v>655</v>
      </c>
      <c r="B656" t="s">
        <v>1724</v>
      </c>
      <c r="C656" t="s">
        <v>32</v>
      </c>
      <c r="D656" s="1" t="s">
        <v>2514</v>
      </c>
      <c r="E656" t="s">
        <v>2515</v>
      </c>
      <c r="F656" t="s">
        <v>2516</v>
      </c>
    </row>
    <row r="657" spans="1:6" x14ac:dyDescent="0.3">
      <c r="A657">
        <v>656</v>
      </c>
      <c r="B657" t="s">
        <v>2517</v>
      </c>
      <c r="C657" t="s">
        <v>32</v>
      </c>
      <c r="D657" s="1" t="s">
        <v>2518</v>
      </c>
      <c r="E657" t="s">
        <v>2519</v>
      </c>
      <c r="F657" t="s">
        <v>2520</v>
      </c>
    </row>
    <row r="658" spans="1:6" x14ac:dyDescent="0.3">
      <c r="A658">
        <v>657</v>
      </c>
      <c r="B658" t="s">
        <v>2521</v>
      </c>
      <c r="C658" t="s">
        <v>7</v>
      </c>
      <c r="D658" s="1" t="s">
        <v>2522</v>
      </c>
      <c r="E658" t="s">
        <v>2523</v>
      </c>
      <c r="F658" t="s">
        <v>2524</v>
      </c>
    </row>
    <row r="659" spans="1:6" x14ac:dyDescent="0.3">
      <c r="A659">
        <v>658</v>
      </c>
      <c r="B659" t="s">
        <v>2525</v>
      </c>
      <c r="C659" t="s">
        <v>45</v>
      </c>
      <c r="D659" s="1" t="s">
        <v>2526</v>
      </c>
      <c r="E659" t="s">
        <v>2527</v>
      </c>
      <c r="F659" t="s">
        <v>2528</v>
      </c>
    </row>
    <row r="660" spans="1:6" x14ac:dyDescent="0.3">
      <c r="A660">
        <v>659</v>
      </c>
      <c r="B660" t="s">
        <v>2529</v>
      </c>
      <c r="C660" t="s">
        <v>32</v>
      </c>
      <c r="D660" s="1" t="s">
        <v>2530</v>
      </c>
      <c r="E660" t="s">
        <v>2531</v>
      </c>
      <c r="F660" t="s">
        <v>2532</v>
      </c>
    </row>
    <row r="661" spans="1:6" x14ac:dyDescent="0.3">
      <c r="A661">
        <v>660</v>
      </c>
      <c r="B661" t="s">
        <v>2533</v>
      </c>
      <c r="C661" t="s">
        <v>45</v>
      </c>
      <c r="D661" s="1" t="s">
        <v>2534</v>
      </c>
      <c r="E661" t="s">
        <v>2535</v>
      </c>
      <c r="F661" t="s">
        <v>2536</v>
      </c>
    </row>
    <row r="662" spans="1:6" x14ac:dyDescent="0.3">
      <c r="A662">
        <v>661</v>
      </c>
      <c r="B662" t="s">
        <v>2537</v>
      </c>
      <c r="C662" t="s">
        <v>11</v>
      </c>
      <c r="D662" s="1" t="s">
        <v>2538</v>
      </c>
      <c r="E662" t="s">
        <v>2539</v>
      </c>
      <c r="F662" t="s">
        <v>2540</v>
      </c>
    </row>
    <row r="663" spans="1:6" x14ac:dyDescent="0.3">
      <c r="A663">
        <v>662</v>
      </c>
      <c r="B663" t="s">
        <v>2541</v>
      </c>
      <c r="C663" t="s">
        <v>7</v>
      </c>
      <c r="D663" s="1" t="s">
        <v>2542</v>
      </c>
      <c r="E663" t="s">
        <v>2543</v>
      </c>
      <c r="F663" t="s">
        <v>2544</v>
      </c>
    </row>
    <row r="664" spans="1:6" x14ac:dyDescent="0.3">
      <c r="A664">
        <v>663</v>
      </c>
      <c r="B664" t="s">
        <v>2545</v>
      </c>
      <c r="C664" t="s">
        <v>7</v>
      </c>
      <c r="D664" s="1" t="s">
        <v>2546</v>
      </c>
      <c r="E664" t="s">
        <v>2547</v>
      </c>
      <c r="F664" t="s">
        <v>2548</v>
      </c>
    </row>
    <row r="665" spans="1:6" x14ac:dyDescent="0.3">
      <c r="A665">
        <v>664</v>
      </c>
      <c r="B665" t="s">
        <v>2549</v>
      </c>
      <c r="C665" t="s">
        <v>45</v>
      </c>
      <c r="D665" s="1" t="s">
        <v>2550</v>
      </c>
      <c r="E665" t="s">
        <v>2551</v>
      </c>
      <c r="F665" t="s">
        <v>2552</v>
      </c>
    </row>
    <row r="666" spans="1:6" x14ac:dyDescent="0.3">
      <c r="A666">
        <v>665</v>
      </c>
      <c r="B666" t="s">
        <v>2553</v>
      </c>
      <c r="C666" t="s">
        <v>45</v>
      </c>
      <c r="D666" s="1" t="s">
        <v>2554</v>
      </c>
      <c r="E666" t="s">
        <v>2555</v>
      </c>
      <c r="F666" t="s">
        <v>2556</v>
      </c>
    </row>
    <row r="667" spans="1:6" x14ac:dyDescent="0.3">
      <c r="A667">
        <v>666</v>
      </c>
      <c r="B667" t="s">
        <v>2557</v>
      </c>
      <c r="C667" t="s">
        <v>7</v>
      </c>
      <c r="D667" s="1" t="s">
        <v>2558</v>
      </c>
      <c r="E667" t="s">
        <v>2559</v>
      </c>
      <c r="F667" t="s">
        <v>2560</v>
      </c>
    </row>
    <row r="668" spans="1:6" x14ac:dyDescent="0.3">
      <c r="A668">
        <v>667</v>
      </c>
      <c r="B668" t="s">
        <v>2561</v>
      </c>
      <c r="C668" t="s">
        <v>7</v>
      </c>
      <c r="D668" s="1" t="s">
        <v>2562</v>
      </c>
      <c r="E668" t="s">
        <v>2563</v>
      </c>
      <c r="F668" t="s">
        <v>2564</v>
      </c>
    </row>
    <row r="669" spans="1:6" x14ac:dyDescent="0.3">
      <c r="A669">
        <v>668</v>
      </c>
      <c r="B669" t="s">
        <v>2565</v>
      </c>
      <c r="C669" t="s">
        <v>11</v>
      </c>
      <c r="D669" s="1" t="s">
        <v>2566</v>
      </c>
      <c r="E669" t="s">
        <v>2567</v>
      </c>
      <c r="F669">
        <v>9364930023</v>
      </c>
    </row>
    <row r="670" spans="1:6" x14ac:dyDescent="0.3">
      <c r="A670">
        <v>669</v>
      </c>
      <c r="B670" t="s">
        <v>2568</v>
      </c>
      <c r="C670" t="s">
        <v>7</v>
      </c>
      <c r="D670" s="1" t="s">
        <v>2569</v>
      </c>
      <c r="E670" t="s">
        <v>2570</v>
      </c>
      <c r="F670" t="s">
        <v>2571</v>
      </c>
    </row>
    <row r="671" spans="1:6" x14ac:dyDescent="0.3">
      <c r="A671">
        <v>670</v>
      </c>
      <c r="B671" t="s">
        <v>2572</v>
      </c>
      <c r="C671" t="s">
        <v>7</v>
      </c>
      <c r="D671" s="1" t="s">
        <v>2573</v>
      </c>
      <c r="E671" t="s">
        <v>2574</v>
      </c>
      <c r="F671" t="s">
        <v>2575</v>
      </c>
    </row>
    <row r="672" spans="1:6" x14ac:dyDescent="0.3">
      <c r="A672">
        <v>671</v>
      </c>
      <c r="B672" t="s">
        <v>2576</v>
      </c>
      <c r="C672" t="s">
        <v>11</v>
      </c>
      <c r="D672" s="1" t="s">
        <v>2577</v>
      </c>
      <c r="E672" t="s">
        <v>2578</v>
      </c>
      <c r="F672" t="s">
        <v>2579</v>
      </c>
    </row>
    <row r="673" spans="1:6" x14ac:dyDescent="0.3">
      <c r="A673">
        <v>672</v>
      </c>
      <c r="B673" t="s">
        <v>2580</v>
      </c>
      <c r="C673" t="s">
        <v>45</v>
      </c>
      <c r="D673" s="1" t="s">
        <v>2581</v>
      </c>
      <c r="E673" t="s">
        <v>2582</v>
      </c>
      <c r="F673" t="s">
        <v>2583</v>
      </c>
    </row>
    <row r="674" spans="1:6" x14ac:dyDescent="0.3">
      <c r="A674">
        <v>673</v>
      </c>
      <c r="B674" t="s">
        <v>2584</v>
      </c>
      <c r="C674" t="s">
        <v>32</v>
      </c>
      <c r="D674" s="1" t="s">
        <v>2585</v>
      </c>
      <c r="E674" t="s">
        <v>2586</v>
      </c>
      <c r="F674">
        <f>1-708-661-1330</f>
        <v>-2698</v>
      </c>
    </row>
    <row r="675" spans="1:6" x14ac:dyDescent="0.3">
      <c r="A675">
        <v>674</v>
      </c>
      <c r="B675" t="s">
        <v>2587</v>
      </c>
      <c r="C675" t="s">
        <v>32</v>
      </c>
      <c r="D675" s="1" t="s">
        <v>2588</v>
      </c>
      <c r="E675" t="s">
        <v>2589</v>
      </c>
      <c r="F675" t="s">
        <v>2590</v>
      </c>
    </row>
    <row r="676" spans="1:6" x14ac:dyDescent="0.3">
      <c r="A676">
        <v>675</v>
      </c>
      <c r="B676" t="s">
        <v>2591</v>
      </c>
      <c r="C676" t="s">
        <v>11</v>
      </c>
      <c r="D676" s="1" t="s">
        <v>2592</v>
      </c>
      <c r="E676" t="s">
        <v>2593</v>
      </c>
      <c r="F676" t="s">
        <v>2594</v>
      </c>
    </row>
    <row r="677" spans="1:6" x14ac:dyDescent="0.3">
      <c r="A677">
        <v>676</v>
      </c>
      <c r="B677" t="s">
        <v>2595</v>
      </c>
      <c r="C677" t="s">
        <v>45</v>
      </c>
      <c r="D677" s="1" t="s">
        <v>2596</v>
      </c>
      <c r="E677" t="s">
        <v>2597</v>
      </c>
      <c r="F677" t="s">
        <v>2598</v>
      </c>
    </row>
    <row r="678" spans="1:6" x14ac:dyDescent="0.3">
      <c r="A678">
        <v>677</v>
      </c>
      <c r="B678" t="s">
        <v>2599</v>
      </c>
      <c r="C678" t="s">
        <v>11</v>
      </c>
      <c r="D678" s="1" t="s">
        <v>2600</v>
      </c>
      <c r="E678" t="s">
        <v>2601</v>
      </c>
      <c r="F678" t="s">
        <v>2602</v>
      </c>
    </row>
    <row r="679" spans="1:6" x14ac:dyDescent="0.3">
      <c r="A679">
        <v>678</v>
      </c>
      <c r="B679" t="s">
        <v>2603</v>
      </c>
      <c r="C679" t="s">
        <v>11</v>
      </c>
      <c r="D679" s="1" t="s">
        <v>2604</v>
      </c>
      <c r="E679" t="s">
        <v>2605</v>
      </c>
      <c r="F679" t="s">
        <v>2606</v>
      </c>
    </row>
    <row r="680" spans="1:6" x14ac:dyDescent="0.3">
      <c r="A680">
        <v>679</v>
      </c>
      <c r="B680" t="s">
        <v>2607</v>
      </c>
      <c r="C680" t="s">
        <v>7</v>
      </c>
      <c r="D680" s="1" t="s">
        <v>2608</v>
      </c>
      <c r="E680" t="s">
        <v>2609</v>
      </c>
      <c r="F680" t="s">
        <v>2610</v>
      </c>
    </row>
    <row r="681" spans="1:6" x14ac:dyDescent="0.3">
      <c r="A681">
        <v>680</v>
      </c>
      <c r="B681" t="s">
        <v>2611</v>
      </c>
      <c r="C681" t="s">
        <v>11</v>
      </c>
      <c r="D681" s="1" t="s">
        <v>2612</v>
      </c>
      <c r="E681" t="s">
        <v>2613</v>
      </c>
      <c r="F681" t="s">
        <v>2614</v>
      </c>
    </row>
    <row r="682" spans="1:6" x14ac:dyDescent="0.3">
      <c r="A682">
        <v>681</v>
      </c>
      <c r="B682" t="s">
        <v>2615</v>
      </c>
      <c r="C682" t="s">
        <v>7</v>
      </c>
      <c r="D682" s="1" t="s">
        <v>2616</v>
      </c>
      <c r="E682" t="s">
        <v>2617</v>
      </c>
      <c r="F682" t="s">
        <v>2618</v>
      </c>
    </row>
    <row r="683" spans="1:6" x14ac:dyDescent="0.3">
      <c r="A683">
        <v>682</v>
      </c>
      <c r="B683" t="s">
        <v>2619</v>
      </c>
      <c r="C683" t="s">
        <v>7</v>
      </c>
      <c r="D683" s="1" t="s">
        <v>2620</v>
      </c>
      <c r="E683" t="s">
        <v>2621</v>
      </c>
      <c r="F683" t="s">
        <v>2622</v>
      </c>
    </row>
    <row r="684" spans="1:6" x14ac:dyDescent="0.3">
      <c r="A684">
        <v>683</v>
      </c>
      <c r="B684" t="s">
        <v>2623</v>
      </c>
      <c r="C684" t="s">
        <v>11</v>
      </c>
      <c r="D684" s="1" t="s">
        <v>2624</v>
      </c>
      <c r="E684" t="s">
        <v>2625</v>
      </c>
      <c r="F684" t="s">
        <v>2626</v>
      </c>
    </row>
    <row r="685" spans="1:6" x14ac:dyDescent="0.3">
      <c r="A685">
        <v>684</v>
      </c>
      <c r="B685" t="s">
        <v>2627</v>
      </c>
      <c r="C685" t="s">
        <v>11</v>
      </c>
      <c r="D685" s="1" t="s">
        <v>2628</v>
      </c>
      <c r="E685" t="s">
        <v>2629</v>
      </c>
      <c r="F685" t="s">
        <v>2630</v>
      </c>
    </row>
    <row r="686" spans="1:6" x14ac:dyDescent="0.3">
      <c r="A686">
        <v>685</v>
      </c>
      <c r="B686" t="s">
        <v>2631</v>
      </c>
      <c r="C686" t="s">
        <v>7</v>
      </c>
      <c r="D686" s="1" t="s">
        <v>2632</v>
      </c>
      <c r="E686" t="s">
        <v>2633</v>
      </c>
      <c r="F686" t="s">
        <v>2634</v>
      </c>
    </row>
    <row r="687" spans="1:6" x14ac:dyDescent="0.3">
      <c r="A687">
        <v>686</v>
      </c>
      <c r="B687" t="s">
        <v>2635</v>
      </c>
      <c r="C687" t="s">
        <v>11</v>
      </c>
      <c r="D687" s="1" t="s">
        <v>2636</v>
      </c>
      <c r="E687" t="s">
        <v>2637</v>
      </c>
      <c r="F687" t="s">
        <v>2638</v>
      </c>
    </row>
    <row r="688" spans="1:6" x14ac:dyDescent="0.3">
      <c r="A688">
        <v>687</v>
      </c>
      <c r="B688" t="s">
        <v>2639</v>
      </c>
      <c r="C688" t="s">
        <v>45</v>
      </c>
      <c r="D688" s="1" t="s">
        <v>2640</v>
      </c>
      <c r="E688" t="s">
        <v>2641</v>
      </c>
      <c r="F688" t="s">
        <v>2642</v>
      </c>
    </row>
    <row r="689" spans="1:6" x14ac:dyDescent="0.3">
      <c r="A689">
        <v>688</v>
      </c>
      <c r="B689" t="s">
        <v>2643</v>
      </c>
      <c r="C689" t="s">
        <v>11</v>
      </c>
      <c r="D689" s="1" t="s">
        <v>2644</v>
      </c>
      <c r="E689" t="s">
        <v>2645</v>
      </c>
      <c r="F689" t="s">
        <v>2646</v>
      </c>
    </row>
    <row r="690" spans="1:6" x14ac:dyDescent="0.3">
      <c r="A690">
        <v>689</v>
      </c>
      <c r="B690" t="s">
        <v>2647</v>
      </c>
      <c r="C690" t="s">
        <v>45</v>
      </c>
      <c r="D690" s="1" t="s">
        <v>2648</v>
      </c>
      <c r="E690" t="s">
        <v>2649</v>
      </c>
      <c r="F690" t="s">
        <v>2650</v>
      </c>
    </row>
    <row r="691" spans="1:6" x14ac:dyDescent="0.3">
      <c r="A691">
        <v>690</v>
      </c>
      <c r="B691" t="s">
        <v>2651</v>
      </c>
      <c r="C691" t="s">
        <v>11</v>
      </c>
      <c r="D691" s="1" t="s">
        <v>2652</v>
      </c>
      <c r="E691" t="s">
        <v>2653</v>
      </c>
      <c r="F691" t="s">
        <v>2654</v>
      </c>
    </row>
    <row r="692" spans="1:6" x14ac:dyDescent="0.3">
      <c r="A692">
        <v>691</v>
      </c>
      <c r="B692" t="s">
        <v>2655</v>
      </c>
      <c r="C692" t="s">
        <v>32</v>
      </c>
      <c r="D692" s="1" t="s">
        <v>2656</v>
      </c>
      <c r="E692" t="s">
        <v>2657</v>
      </c>
      <c r="F692" t="s">
        <v>2658</v>
      </c>
    </row>
    <row r="693" spans="1:6" x14ac:dyDescent="0.3">
      <c r="A693">
        <v>692</v>
      </c>
      <c r="B693" t="s">
        <v>2659</v>
      </c>
      <c r="C693" t="s">
        <v>7</v>
      </c>
      <c r="D693" s="1" t="s">
        <v>2660</v>
      </c>
      <c r="E693" t="s">
        <v>2661</v>
      </c>
      <c r="F693">
        <f>1-596-531-4868</f>
        <v>-5994</v>
      </c>
    </row>
    <row r="694" spans="1:6" x14ac:dyDescent="0.3">
      <c r="A694">
        <v>693</v>
      </c>
      <c r="B694" t="s">
        <v>2662</v>
      </c>
      <c r="C694" t="s">
        <v>32</v>
      </c>
      <c r="D694" s="1" t="s">
        <v>2663</v>
      </c>
      <c r="E694" t="s">
        <v>2664</v>
      </c>
      <c r="F694" t="s">
        <v>2665</v>
      </c>
    </row>
    <row r="695" spans="1:6" x14ac:dyDescent="0.3">
      <c r="A695">
        <v>694</v>
      </c>
      <c r="B695" t="s">
        <v>2666</v>
      </c>
      <c r="C695" t="s">
        <v>7</v>
      </c>
      <c r="D695" s="1" t="s">
        <v>2667</v>
      </c>
      <c r="E695" t="s">
        <v>2668</v>
      </c>
      <c r="F695" t="s">
        <v>2669</v>
      </c>
    </row>
    <row r="696" spans="1:6" x14ac:dyDescent="0.3">
      <c r="A696">
        <v>695</v>
      </c>
      <c r="B696" t="s">
        <v>2670</v>
      </c>
      <c r="C696" t="s">
        <v>7</v>
      </c>
      <c r="D696" s="1" t="s">
        <v>2671</v>
      </c>
      <c r="E696" t="s">
        <v>2672</v>
      </c>
      <c r="F696" t="s">
        <v>2673</v>
      </c>
    </row>
    <row r="697" spans="1:6" x14ac:dyDescent="0.3">
      <c r="A697">
        <v>696</v>
      </c>
      <c r="B697" t="s">
        <v>2674</v>
      </c>
      <c r="C697" t="s">
        <v>11</v>
      </c>
      <c r="D697" s="1" t="s">
        <v>2675</v>
      </c>
      <c r="E697" t="s">
        <v>2430</v>
      </c>
      <c r="F697" t="s">
        <v>2676</v>
      </c>
    </row>
    <row r="698" spans="1:6" x14ac:dyDescent="0.3">
      <c r="A698">
        <v>697</v>
      </c>
      <c r="B698" t="s">
        <v>2677</v>
      </c>
      <c r="C698" t="s">
        <v>32</v>
      </c>
      <c r="D698" s="1" t="s">
        <v>2678</v>
      </c>
      <c r="E698" t="s">
        <v>2679</v>
      </c>
      <c r="F698" t="s">
        <v>2680</v>
      </c>
    </row>
    <row r="699" spans="1:6" x14ac:dyDescent="0.3">
      <c r="A699">
        <v>698</v>
      </c>
      <c r="B699" t="s">
        <v>2681</v>
      </c>
      <c r="C699" t="s">
        <v>11</v>
      </c>
      <c r="D699" s="1" t="s">
        <v>2682</v>
      </c>
      <c r="E699" t="s">
        <v>2683</v>
      </c>
      <c r="F699" t="s">
        <v>2684</v>
      </c>
    </row>
    <row r="700" spans="1:6" x14ac:dyDescent="0.3">
      <c r="A700">
        <v>699</v>
      </c>
      <c r="B700" t="s">
        <v>2685</v>
      </c>
      <c r="C700" t="s">
        <v>11</v>
      </c>
      <c r="D700" s="1" t="s">
        <v>2686</v>
      </c>
      <c r="E700" t="s">
        <v>1280</v>
      </c>
      <c r="F700" t="s">
        <v>2687</v>
      </c>
    </row>
    <row r="701" spans="1:6" x14ac:dyDescent="0.3">
      <c r="A701">
        <v>700</v>
      </c>
      <c r="B701" t="s">
        <v>2688</v>
      </c>
      <c r="C701" t="s">
        <v>7</v>
      </c>
      <c r="D701" s="1" t="s">
        <v>2689</v>
      </c>
      <c r="E701" t="s">
        <v>2690</v>
      </c>
      <c r="F701" t="s">
        <v>2691</v>
      </c>
    </row>
    <row r="702" spans="1:6" x14ac:dyDescent="0.3">
      <c r="A702">
        <v>701</v>
      </c>
      <c r="B702" t="s">
        <v>2692</v>
      </c>
      <c r="C702" t="s">
        <v>32</v>
      </c>
      <c r="D702" s="1" t="s">
        <v>2693</v>
      </c>
      <c r="E702" t="s">
        <v>2694</v>
      </c>
      <c r="F702" t="s">
        <v>2695</v>
      </c>
    </row>
    <row r="703" spans="1:6" x14ac:dyDescent="0.3">
      <c r="A703">
        <v>702</v>
      </c>
      <c r="B703" t="s">
        <v>2696</v>
      </c>
      <c r="C703" t="s">
        <v>7</v>
      </c>
      <c r="D703" s="1" t="s">
        <v>2697</v>
      </c>
      <c r="E703" t="s">
        <v>2698</v>
      </c>
      <c r="F703" t="s">
        <v>2699</v>
      </c>
    </row>
    <row r="704" spans="1:6" x14ac:dyDescent="0.3">
      <c r="A704">
        <v>703</v>
      </c>
      <c r="B704" t="s">
        <v>2700</v>
      </c>
      <c r="C704" t="s">
        <v>45</v>
      </c>
      <c r="D704" s="1" t="s">
        <v>2701</v>
      </c>
      <c r="E704" t="s">
        <v>2702</v>
      </c>
      <c r="F704" t="s">
        <v>2703</v>
      </c>
    </row>
    <row r="705" spans="1:6" x14ac:dyDescent="0.3">
      <c r="A705">
        <v>704</v>
      </c>
      <c r="B705" t="s">
        <v>2704</v>
      </c>
      <c r="C705" t="s">
        <v>32</v>
      </c>
      <c r="D705" s="1" t="s">
        <v>2705</v>
      </c>
      <c r="E705" t="s">
        <v>2706</v>
      </c>
      <c r="F705" t="s">
        <v>2707</v>
      </c>
    </row>
    <row r="706" spans="1:6" x14ac:dyDescent="0.3">
      <c r="A706">
        <v>705</v>
      </c>
      <c r="B706" t="s">
        <v>2708</v>
      </c>
      <c r="C706" t="s">
        <v>11</v>
      </c>
      <c r="D706" s="1" t="s">
        <v>2709</v>
      </c>
      <c r="E706" t="s">
        <v>2710</v>
      </c>
      <c r="F706" t="s">
        <v>2711</v>
      </c>
    </row>
    <row r="707" spans="1:6" x14ac:dyDescent="0.3">
      <c r="A707">
        <v>706</v>
      </c>
      <c r="B707" t="s">
        <v>2712</v>
      </c>
      <c r="C707" t="s">
        <v>7</v>
      </c>
      <c r="D707" s="1" t="s">
        <v>2713</v>
      </c>
      <c r="E707" t="s">
        <v>2714</v>
      </c>
      <c r="F707" t="s">
        <v>2715</v>
      </c>
    </row>
    <row r="708" spans="1:6" x14ac:dyDescent="0.3">
      <c r="A708">
        <v>707</v>
      </c>
      <c r="B708" t="s">
        <v>2716</v>
      </c>
      <c r="C708" t="s">
        <v>7</v>
      </c>
      <c r="D708" s="1" t="s">
        <v>2717</v>
      </c>
      <c r="E708" t="s">
        <v>2718</v>
      </c>
      <c r="F708" t="s">
        <v>2719</v>
      </c>
    </row>
    <row r="709" spans="1:6" x14ac:dyDescent="0.3">
      <c r="A709">
        <v>708</v>
      </c>
      <c r="B709" t="s">
        <v>2720</v>
      </c>
      <c r="C709" t="s">
        <v>45</v>
      </c>
      <c r="D709" s="1" t="s">
        <v>2721</v>
      </c>
      <c r="E709" t="s">
        <v>2722</v>
      </c>
      <c r="F709" t="s">
        <v>2723</v>
      </c>
    </row>
    <row r="710" spans="1:6" x14ac:dyDescent="0.3">
      <c r="A710">
        <v>709</v>
      </c>
      <c r="B710" t="s">
        <v>2724</v>
      </c>
      <c r="C710" t="s">
        <v>32</v>
      </c>
      <c r="D710" s="1" t="s">
        <v>2725</v>
      </c>
      <c r="E710" t="s">
        <v>2726</v>
      </c>
      <c r="F710" t="s">
        <v>2727</v>
      </c>
    </row>
    <row r="711" spans="1:6" x14ac:dyDescent="0.3">
      <c r="A711">
        <v>710</v>
      </c>
      <c r="B711" t="s">
        <v>2728</v>
      </c>
      <c r="C711" t="s">
        <v>45</v>
      </c>
      <c r="D711" s="1" t="s">
        <v>2729</v>
      </c>
      <c r="E711" t="s">
        <v>2730</v>
      </c>
      <c r="F711" t="s">
        <v>2731</v>
      </c>
    </row>
    <row r="712" spans="1:6" x14ac:dyDescent="0.3">
      <c r="A712">
        <v>711</v>
      </c>
      <c r="B712" t="s">
        <v>2732</v>
      </c>
      <c r="C712" t="s">
        <v>7</v>
      </c>
      <c r="D712" s="1" t="s">
        <v>2733</v>
      </c>
      <c r="E712" t="s">
        <v>2734</v>
      </c>
      <c r="F712" t="s">
        <v>2735</v>
      </c>
    </row>
    <row r="713" spans="1:6" x14ac:dyDescent="0.3">
      <c r="A713">
        <v>712</v>
      </c>
      <c r="B713" t="s">
        <v>2736</v>
      </c>
      <c r="C713" t="s">
        <v>32</v>
      </c>
      <c r="D713" s="1" t="s">
        <v>2737</v>
      </c>
      <c r="E713" t="s">
        <v>2738</v>
      </c>
      <c r="F713" t="s">
        <v>2739</v>
      </c>
    </row>
    <row r="714" spans="1:6" x14ac:dyDescent="0.3">
      <c r="A714">
        <v>713</v>
      </c>
      <c r="B714" t="s">
        <v>2740</v>
      </c>
      <c r="C714" t="s">
        <v>11</v>
      </c>
      <c r="D714" s="1" t="s">
        <v>2741</v>
      </c>
      <c r="E714" t="s">
        <v>2742</v>
      </c>
      <c r="F714" t="s">
        <v>2743</v>
      </c>
    </row>
    <row r="715" spans="1:6" x14ac:dyDescent="0.3">
      <c r="A715">
        <v>714</v>
      </c>
      <c r="B715" t="s">
        <v>2744</v>
      </c>
      <c r="C715" t="s">
        <v>45</v>
      </c>
      <c r="D715" s="1" t="s">
        <v>2745</v>
      </c>
      <c r="E715" t="s">
        <v>2746</v>
      </c>
      <c r="F715" t="s">
        <v>2747</v>
      </c>
    </row>
    <row r="716" spans="1:6" x14ac:dyDescent="0.3">
      <c r="A716">
        <v>715</v>
      </c>
      <c r="B716" t="s">
        <v>2748</v>
      </c>
      <c r="C716" t="s">
        <v>32</v>
      </c>
      <c r="D716" s="1" t="s">
        <v>2749</v>
      </c>
      <c r="E716" t="s">
        <v>2750</v>
      </c>
      <c r="F716" t="s">
        <v>2751</v>
      </c>
    </row>
    <row r="717" spans="1:6" x14ac:dyDescent="0.3">
      <c r="A717">
        <v>716</v>
      </c>
      <c r="B717" t="s">
        <v>2752</v>
      </c>
      <c r="C717" t="s">
        <v>45</v>
      </c>
      <c r="D717" s="1" t="s">
        <v>2753</v>
      </c>
      <c r="E717" t="s">
        <v>2754</v>
      </c>
      <c r="F717" t="s">
        <v>2755</v>
      </c>
    </row>
    <row r="718" spans="1:6" x14ac:dyDescent="0.3">
      <c r="A718">
        <v>717</v>
      </c>
      <c r="B718" t="s">
        <v>2756</v>
      </c>
      <c r="C718" t="s">
        <v>45</v>
      </c>
      <c r="D718" s="1" t="s">
        <v>2757</v>
      </c>
      <c r="E718" t="s">
        <v>2758</v>
      </c>
      <c r="F718">
        <f>1-508-27-9784</f>
        <v>-10318</v>
      </c>
    </row>
    <row r="719" spans="1:6" x14ac:dyDescent="0.3">
      <c r="A719">
        <v>718</v>
      </c>
      <c r="B719" t="s">
        <v>2759</v>
      </c>
      <c r="C719" t="s">
        <v>32</v>
      </c>
      <c r="D719" s="1" t="s">
        <v>2760</v>
      </c>
      <c r="E719" t="s">
        <v>2761</v>
      </c>
      <c r="F719">
        <f>1-956-381-7075</f>
        <v>-8411</v>
      </c>
    </row>
    <row r="720" spans="1:6" x14ac:dyDescent="0.3">
      <c r="A720">
        <v>719</v>
      </c>
      <c r="B720" t="s">
        <v>2762</v>
      </c>
      <c r="C720" t="s">
        <v>32</v>
      </c>
      <c r="D720" s="1" t="s">
        <v>2763</v>
      </c>
      <c r="E720" t="s">
        <v>2764</v>
      </c>
      <c r="F720" t="s">
        <v>2765</v>
      </c>
    </row>
    <row r="721" spans="1:6" x14ac:dyDescent="0.3">
      <c r="A721">
        <v>720</v>
      </c>
      <c r="B721" t="s">
        <v>2766</v>
      </c>
      <c r="C721" t="s">
        <v>32</v>
      </c>
      <c r="D721" s="1" t="s">
        <v>2767</v>
      </c>
      <c r="E721" t="s">
        <v>2768</v>
      </c>
      <c r="F721" t="s">
        <v>2769</v>
      </c>
    </row>
    <row r="722" spans="1:6" x14ac:dyDescent="0.3">
      <c r="A722">
        <v>721</v>
      </c>
      <c r="B722" t="s">
        <v>2770</v>
      </c>
      <c r="C722" t="s">
        <v>45</v>
      </c>
      <c r="D722" s="1" t="s">
        <v>2771</v>
      </c>
      <c r="E722" t="s">
        <v>2772</v>
      </c>
      <c r="F722">
        <v>2885719618</v>
      </c>
    </row>
    <row r="723" spans="1:6" x14ac:dyDescent="0.3">
      <c r="A723">
        <v>722</v>
      </c>
      <c r="B723" t="s">
        <v>2773</v>
      </c>
      <c r="C723" t="s">
        <v>32</v>
      </c>
      <c r="D723" s="1" t="s">
        <v>2774</v>
      </c>
      <c r="E723" t="s">
        <v>2775</v>
      </c>
      <c r="F723" t="s">
        <v>2776</v>
      </c>
    </row>
    <row r="724" spans="1:6" x14ac:dyDescent="0.3">
      <c r="A724">
        <v>723</v>
      </c>
      <c r="B724" t="s">
        <v>2777</v>
      </c>
      <c r="C724" t="s">
        <v>7</v>
      </c>
      <c r="D724" s="1" t="s">
        <v>2778</v>
      </c>
      <c r="E724" t="s">
        <v>2779</v>
      </c>
      <c r="F724" t="s">
        <v>2780</v>
      </c>
    </row>
    <row r="725" spans="1:6" x14ac:dyDescent="0.3">
      <c r="A725">
        <v>724</v>
      </c>
      <c r="B725" t="s">
        <v>894</v>
      </c>
      <c r="C725" t="s">
        <v>45</v>
      </c>
      <c r="D725" s="1" t="s">
        <v>2781</v>
      </c>
      <c r="E725" t="s">
        <v>2782</v>
      </c>
      <c r="F725" t="s">
        <v>2783</v>
      </c>
    </row>
    <row r="726" spans="1:6" x14ac:dyDescent="0.3">
      <c r="A726">
        <v>725</v>
      </c>
      <c r="B726" t="s">
        <v>2784</v>
      </c>
      <c r="C726" t="s">
        <v>11</v>
      </c>
      <c r="D726" s="1" t="s">
        <v>2785</v>
      </c>
      <c r="E726" t="s">
        <v>2786</v>
      </c>
      <c r="F726" t="s">
        <v>2787</v>
      </c>
    </row>
    <row r="727" spans="1:6" x14ac:dyDescent="0.3">
      <c r="A727">
        <v>726</v>
      </c>
      <c r="B727" t="s">
        <v>2788</v>
      </c>
      <c r="C727" t="s">
        <v>7</v>
      </c>
      <c r="D727" s="1" t="s">
        <v>2789</v>
      </c>
      <c r="E727" t="s">
        <v>2790</v>
      </c>
      <c r="F727" t="s">
        <v>2791</v>
      </c>
    </row>
    <row r="728" spans="1:6" x14ac:dyDescent="0.3">
      <c r="A728">
        <v>727</v>
      </c>
      <c r="B728" t="s">
        <v>2792</v>
      </c>
      <c r="C728" t="s">
        <v>7</v>
      </c>
      <c r="D728" s="1" t="s">
        <v>2793</v>
      </c>
      <c r="E728" t="s">
        <v>2794</v>
      </c>
      <c r="F728">
        <v>8228891240</v>
      </c>
    </row>
    <row r="729" spans="1:6" x14ac:dyDescent="0.3">
      <c r="A729">
        <v>728</v>
      </c>
      <c r="B729" t="s">
        <v>2795</v>
      </c>
      <c r="C729" t="s">
        <v>7</v>
      </c>
      <c r="D729" s="1" t="s">
        <v>2796</v>
      </c>
      <c r="E729" t="s">
        <v>2797</v>
      </c>
      <c r="F729" t="s">
        <v>2798</v>
      </c>
    </row>
    <row r="730" spans="1:6" x14ac:dyDescent="0.3">
      <c r="A730">
        <v>729</v>
      </c>
      <c r="B730" t="s">
        <v>2799</v>
      </c>
      <c r="C730" t="s">
        <v>11</v>
      </c>
      <c r="D730" s="1" t="s">
        <v>2800</v>
      </c>
      <c r="E730" t="s">
        <v>2801</v>
      </c>
      <c r="F730" t="s">
        <v>2802</v>
      </c>
    </row>
    <row r="731" spans="1:6" x14ac:dyDescent="0.3">
      <c r="A731">
        <v>730</v>
      </c>
      <c r="B731" t="s">
        <v>2803</v>
      </c>
      <c r="C731" t="s">
        <v>7</v>
      </c>
      <c r="D731" s="1" t="s">
        <v>2804</v>
      </c>
      <c r="E731" t="s">
        <v>2805</v>
      </c>
      <c r="F731" t="s">
        <v>2806</v>
      </c>
    </row>
    <row r="732" spans="1:6" x14ac:dyDescent="0.3">
      <c r="A732">
        <v>731</v>
      </c>
      <c r="B732" t="s">
        <v>2807</v>
      </c>
      <c r="C732" t="s">
        <v>11</v>
      </c>
      <c r="D732" s="1" t="s">
        <v>2808</v>
      </c>
      <c r="E732" t="s">
        <v>2809</v>
      </c>
      <c r="F732" t="s">
        <v>2810</v>
      </c>
    </row>
    <row r="733" spans="1:6" x14ac:dyDescent="0.3">
      <c r="A733">
        <v>732</v>
      </c>
      <c r="B733" t="s">
        <v>2811</v>
      </c>
      <c r="C733" t="s">
        <v>7</v>
      </c>
      <c r="D733" s="1" t="s">
        <v>2812</v>
      </c>
      <c r="E733" t="s">
        <v>2813</v>
      </c>
      <c r="F733" t="s">
        <v>2814</v>
      </c>
    </row>
    <row r="734" spans="1:6" x14ac:dyDescent="0.3">
      <c r="A734">
        <v>733</v>
      </c>
      <c r="B734" t="s">
        <v>2815</v>
      </c>
      <c r="C734" t="s">
        <v>45</v>
      </c>
      <c r="D734" s="1" t="s">
        <v>2816</v>
      </c>
      <c r="E734" t="s">
        <v>2817</v>
      </c>
      <c r="F734" t="s">
        <v>2818</v>
      </c>
    </row>
    <row r="735" spans="1:6" x14ac:dyDescent="0.3">
      <c r="A735">
        <v>734</v>
      </c>
      <c r="B735" t="s">
        <v>2819</v>
      </c>
      <c r="C735" t="s">
        <v>45</v>
      </c>
      <c r="D735" s="1" t="s">
        <v>2820</v>
      </c>
      <c r="E735" t="s">
        <v>2821</v>
      </c>
      <c r="F735" t="s">
        <v>2822</v>
      </c>
    </row>
    <row r="736" spans="1:6" x14ac:dyDescent="0.3">
      <c r="A736">
        <v>735</v>
      </c>
      <c r="B736" t="s">
        <v>2823</v>
      </c>
      <c r="C736" t="s">
        <v>32</v>
      </c>
      <c r="D736" s="1" t="s">
        <v>2824</v>
      </c>
      <c r="E736" t="s">
        <v>2825</v>
      </c>
      <c r="F736" t="s">
        <v>2826</v>
      </c>
    </row>
    <row r="737" spans="1:6" x14ac:dyDescent="0.3">
      <c r="A737">
        <v>736</v>
      </c>
      <c r="B737" t="s">
        <v>2827</v>
      </c>
      <c r="C737" t="s">
        <v>7</v>
      </c>
      <c r="D737" s="1" t="s">
        <v>2828</v>
      </c>
      <c r="E737" t="s">
        <v>1605</v>
      </c>
      <c r="F737" t="s">
        <v>2829</v>
      </c>
    </row>
    <row r="738" spans="1:6" x14ac:dyDescent="0.3">
      <c r="A738">
        <v>737</v>
      </c>
      <c r="B738" t="s">
        <v>2830</v>
      </c>
      <c r="C738" t="s">
        <v>32</v>
      </c>
      <c r="D738" s="1" t="s">
        <v>2831</v>
      </c>
      <c r="E738" t="s">
        <v>2832</v>
      </c>
      <c r="F738" t="s">
        <v>2833</v>
      </c>
    </row>
    <row r="739" spans="1:6" x14ac:dyDescent="0.3">
      <c r="A739">
        <v>738</v>
      </c>
      <c r="B739" t="s">
        <v>2834</v>
      </c>
      <c r="C739" t="s">
        <v>11</v>
      </c>
      <c r="D739" s="1" t="s">
        <v>2835</v>
      </c>
      <c r="E739" t="s">
        <v>2836</v>
      </c>
      <c r="F739" t="s">
        <v>2837</v>
      </c>
    </row>
    <row r="740" spans="1:6" x14ac:dyDescent="0.3">
      <c r="A740">
        <v>739</v>
      </c>
      <c r="B740" t="s">
        <v>2838</v>
      </c>
      <c r="C740" t="s">
        <v>11</v>
      </c>
      <c r="D740" s="1" t="s">
        <v>2839</v>
      </c>
      <c r="E740" t="s">
        <v>2840</v>
      </c>
      <c r="F740" t="s">
        <v>2841</v>
      </c>
    </row>
    <row r="741" spans="1:6" x14ac:dyDescent="0.3">
      <c r="A741">
        <v>740</v>
      </c>
      <c r="B741" t="s">
        <v>2842</v>
      </c>
      <c r="C741" t="s">
        <v>45</v>
      </c>
      <c r="D741" s="1" t="s">
        <v>2843</v>
      </c>
      <c r="E741" t="s">
        <v>2844</v>
      </c>
      <c r="F741" t="s">
        <v>2845</v>
      </c>
    </row>
    <row r="742" spans="1:6" x14ac:dyDescent="0.3">
      <c r="A742">
        <v>741</v>
      </c>
      <c r="B742" t="s">
        <v>2846</v>
      </c>
      <c r="C742" t="s">
        <v>45</v>
      </c>
      <c r="D742" s="1" t="s">
        <v>2847</v>
      </c>
      <c r="E742" t="s">
        <v>2848</v>
      </c>
      <c r="F742" t="s">
        <v>2849</v>
      </c>
    </row>
    <row r="743" spans="1:6" x14ac:dyDescent="0.3">
      <c r="A743">
        <v>742</v>
      </c>
      <c r="B743" t="s">
        <v>2850</v>
      </c>
      <c r="C743" t="s">
        <v>45</v>
      </c>
      <c r="D743" s="1" t="s">
        <v>2851</v>
      </c>
      <c r="E743" t="s">
        <v>2852</v>
      </c>
      <c r="F743" t="s">
        <v>2853</v>
      </c>
    </row>
    <row r="744" spans="1:6" x14ac:dyDescent="0.3">
      <c r="A744">
        <v>743</v>
      </c>
      <c r="B744" t="s">
        <v>2854</v>
      </c>
      <c r="C744" t="s">
        <v>7</v>
      </c>
      <c r="D744" s="1" t="s">
        <v>2855</v>
      </c>
      <c r="E744" t="s">
        <v>2856</v>
      </c>
      <c r="F744" t="s">
        <v>2857</v>
      </c>
    </row>
    <row r="745" spans="1:6" x14ac:dyDescent="0.3">
      <c r="A745">
        <v>744</v>
      </c>
      <c r="B745" t="s">
        <v>2858</v>
      </c>
      <c r="C745" t="s">
        <v>32</v>
      </c>
      <c r="D745" s="1" t="s">
        <v>2859</v>
      </c>
      <c r="E745" t="s">
        <v>2860</v>
      </c>
      <c r="F745">
        <v>4335526313</v>
      </c>
    </row>
    <row r="746" spans="1:6" x14ac:dyDescent="0.3">
      <c r="A746">
        <v>745</v>
      </c>
      <c r="B746" t="s">
        <v>2861</v>
      </c>
      <c r="C746" t="s">
        <v>11</v>
      </c>
      <c r="D746" s="1" t="s">
        <v>2862</v>
      </c>
      <c r="E746" t="s">
        <v>2403</v>
      </c>
      <c r="F746" t="s">
        <v>2863</v>
      </c>
    </row>
    <row r="747" spans="1:6" x14ac:dyDescent="0.3">
      <c r="A747">
        <v>746</v>
      </c>
      <c r="B747" t="s">
        <v>2864</v>
      </c>
      <c r="C747" t="s">
        <v>11</v>
      </c>
      <c r="D747" s="1" t="s">
        <v>2865</v>
      </c>
      <c r="E747" t="s">
        <v>2866</v>
      </c>
      <c r="F747" t="s">
        <v>2867</v>
      </c>
    </row>
    <row r="748" spans="1:6" x14ac:dyDescent="0.3">
      <c r="A748">
        <v>747</v>
      </c>
      <c r="B748" t="s">
        <v>2868</v>
      </c>
      <c r="C748" t="s">
        <v>32</v>
      </c>
      <c r="D748" s="1" t="s">
        <v>2869</v>
      </c>
      <c r="E748" t="s">
        <v>2870</v>
      </c>
      <c r="F748" t="s">
        <v>2871</v>
      </c>
    </row>
    <row r="749" spans="1:6" x14ac:dyDescent="0.3">
      <c r="A749">
        <v>748</v>
      </c>
      <c r="B749" t="s">
        <v>2872</v>
      </c>
      <c r="C749" t="s">
        <v>7</v>
      </c>
      <c r="D749" s="1" t="s">
        <v>2873</v>
      </c>
      <c r="E749" t="s">
        <v>2874</v>
      </c>
      <c r="F749">
        <v>508335147</v>
      </c>
    </row>
    <row r="750" spans="1:6" x14ac:dyDescent="0.3">
      <c r="A750">
        <v>749</v>
      </c>
      <c r="B750" t="s">
        <v>2875</v>
      </c>
      <c r="C750" t="s">
        <v>11</v>
      </c>
      <c r="D750" s="1" t="s">
        <v>2876</v>
      </c>
      <c r="E750" t="s">
        <v>2877</v>
      </c>
      <c r="F750" t="s">
        <v>2878</v>
      </c>
    </row>
    <row r="751" spans="1:6" x14ac:dyDescent="0.3">
      <c r="A751">
        <v>750</v>
      </c>
      <c r="B751" t="s">
        <v>2879</v>
      </c>
      <c r="C751" t="s">
        <v>7</v>
      </c>
      <c r="D751" s="1" t="s">
        <v>2880</v>
      </c>
      <c r="E751" t="s">
        <v>2881</v>
      </c>
      <c r="F751" t="s">
        <v>2882</v>
      </c>
    </row>
    <row r="752" spans="1:6" x14ac:dyDescent="0.3">
      <c r="A752">
        <v>751</v>
      </c>
      <c r="B752" t="s">
        <v>2883</v>
      </c>
      <c r="C752" t="s">
        <v>32</v>
      </c>
      <c r="D752" s="1" t="s">
        <v>2884</v>
      </c>
      <c r="E752" t="s">
        <v>2885</v>
      </c>
      <c r="F752" t="s">
        <v>2886</v>
      </c>
    </row>
    <row r="753" spans="1:6" x14ac:dyDescent="0.3">
      <c r="A753">
        <v>752</v>
      </c>
      <c r="B753" t="s">
        <v>2887</v>
      </c>
      <c r="C753" t="s">
        <v>11</v>
      </c>
      <c r="D753" s="1" t="s">
        <v>2888</v>
      </c>
      <c r="E753" t="s">
        <v>2889</v>
      </c>
      <c r="F753">
        <f>1-268-505-2616</f>
        <v>-3388</v>
      </c>
    </row>
    <row r="754" spans="1:6" x14ac:dyDescent="0.3">
      <c r="A754">
        <v>753</v>
      </c>
      <c r="B754" t="s">
        <v>2890</v>
      </c>
      <c r="C754" t="s">
        <v>7</v>
      </c>
      <c r="D754" s="1" t="s">
        <v>2891</v>
      </c>
      <c r="E754" t="s">
        <v>2892</v>
      </c>
      <c r="F754" t="s">
        <v>2893</v>
      </c>
    </row>
    <row r="755" spans="1:6" x14ac:dyDescent="0.3">
      <c r="A755">
        <v>754</v>
      </c>
      <c r="B755" t="s">
        <v>2894</v>
      </c>
      <c r="C755" t="s">
        <v>32</v>
      </c>
      <c r="D755" s="1" t="s">
        <v>2895</v>
      </c>
      <c r="E755" t="s">
        <v>2896</v>
      </c>
      <c r="F755" t="s">
        <v>2897</v>
      </c>
    </row>
    <row r="756" spans="1:6" x14ac:dyDescent="0.3">
      <c r="A756">
        <v>755</v>
      </c>
      <c r="B756" t="s">
        <v>2898</v>
      </c>
      <c r="C756" t="s">
        <v>32</v>
      </c>
      <c r="D756" s="1" t="s">
        <v>2899</v>
      </c>
      <c r="E756" t="s">
        <v>2900</v>
      </c>
      <c r="F756">
        <v>5402653116</v>
      </c>
    </row>
    <row r="757" spans="1:6" x14ac:dyDescent="0.3">
      <c r="A757">
        <v>756</v>
      </c>
      <c r="B757" t="s">
        <v>2901</v>
      </c>
      <c r="C757" t="s">
        <v>32</v>
      </c>
      <c r="D757" s="1" t="s">
        <v>2902</v>
      </c>
      <c r="E757" t="s">
        <v>2903</v>
      </c>
      <c r="F757" t="s">
        <v>2904</v>
      </c>
    </row>
    <row r="758" spans="1:6" x14ac:dyDescent="0.3">
      <c r="A758">
        <v>757</v>
      </c>
      <c r="B758" t="s">
        <v>80</v>
      </c>
      <c r="C758" t="s">
        <v>32</v>
      </c>
      <c r="D758" s="1" t="s">
        <v>2905</v>
      </c>
      <c r="E758" t="s">
        <v>2906</v>
      </c>
      <c r="F758" t="s">
        <v>2907</v>
      </c>
    </row>
    <row r="759" spans="1:6" x14ac:dyDescent="0.3">
      <c r="A759">
        <v>758</v>
      </c>
      <c r="B759" t="s">
        <v>2908</v>
      </c>
      <c r="C759" t="s">
        <v>45</v>
      </c>
      <c r="D759" s="1" t="s">
        <v>2909</v>
      </c>
      <c r="E759" t="s">
        <v>1374</v>
      </c>
      <c r="F759" t="s">
        <v>2910</v>
      </c>
    </row>
    <row r="760" spans="1:6" x14ac:dyDescent="0.3">
      <c r="A760">
        <v>759</v>
      </c>
      <c r="B760" t="s">
        <v>2911</v>
      </c>
      <c r="C760" t="s">
        <v>32</v>
      </c>
      <c r="D760" s="1" t="s">
        <v>2912</v>
      </c>
      <c r="E760" t="s">
        <v>2913</v>
      </c>
      <c r="F760" t="s">
        <v>2914</v>
      </c>
    </row>
    <row r="761" spans="1:6" x14ac:dyDescent="0.3">
      <c r="A761">
        <v>760</v>
      </c>
      <c r="B761" t="s">
        <v>2915</v>
      </c>
      <c r="C761" t="s">
        <v>7</v>
      </c>
      <c r="D761" s="1" t="s">
        <v>2916</v>
      </c>
      <c r="E761" t="s">
        <v>2917</v>
      </c>
      <c r="F761" t="s">
        <v>2918</v>
      </c>
    </row>
    <row r="762" spans="1:6" x14ac:dyDescent="0.3">
      <c r="A762">
        <v>761</v>
      </c>
      <c r="B762" t="s">
        <v>2919</v>
      </c>
      <c r="C762" t="s">
        <v>45</v>
      </c>
      <c r="D762" s="1" t="s">
        <v>2920</v>
      </c>
      <c r="E762" t="s">
        <v>2921</v>
      </c>
      <c r="F762" t="s">
        <v>2922</v>
      </c>
    </row>
    <row r="763" spans="1:6" x14ac:dyDescent="0.3">
      <c r="A763">
        <v>762</v>
      </c>
      <c r="B763" t="s">
        <v>2923</v>
      </c>
      <c r="C763" t="s">
        <v>32</v>
      </c>
      <c r="D763" s="1" t="s">
        <v>2924</v>
      </c>
      <c r="E763" t="s">
        <v>2925</v>
      </c>
      <c r="F763" t="s">
        <v>2926</v>
      </c>
    </row>
    <row r="764" spans="1:6" x14ac:dyDescent="0.3">
      <c r="A764">
        <v>763</v>
      </c>
      <c r="B764" t="s">
        <v>2927</v>
      </c>
      <c r="C764" t="s">
        <v>32</v>
      </c>
      <c r="D764" s="1" t="s">
        <v>2928</v>
      </c>
      <c r="E764" t="s">
        <v>2929</v>
      </c>
      <c r="F764" t="s">
        <v>2930</v>
      </c>
    </row>
    <row r="765" spans="1:6" x14ac:dyDescent="0.3">
      <c r="A765">
        <v>764</v>
      </c>
      <c r="B765" t="s">
        <v>2931</v>
      </c>
      <c r="C765" t="s">
        <v>32</v>
      </c>
      <c r="D765" s="1" t="s">
        <v>2932</v>
      </c>
      <c r="E765" t="s">
        <v>2933</v>
      </c>
      <c r="F765" t="s">
        <v>2934</v>
      </c>
    </row>
    <row r="766" spans="1:6" x14ac:dyDescent="0.3">
      <c r="A766">
        <v>765</v>
      </c>
      <c r="B766" t="s">
        <v>2935</v>
      </c>
      <c r="C766" t="s">
        <v>11</v>
      </c>
      <c r="D766" s="1" t="s">
        <v>2936</v>
      </c>
      <c r="E766" t="s">
        <v>2937</v>
      </c>
      <c r="F766" t="s">
        <v>2938</v>
      </c>
    </row>
    <row r="767" spans="1:6" x14ac:dyDescent="0.3">
      <c r="A767">
        <v>766</v>
      </c>
      <c r="B767" t="s">
        <v>2939</v>
      </c>
      <c r="C767" t="s">
        <v>45</v>
      </c>
      <c r="D767" s="1" t="s">
        <v>2940</v>
      </c>
      <c r="E767" t="s">
        <v>2941</v>
      </c>
      <c r="F767" t="s">
        <v>2942</v>
      </c>
    </row>
    <row r="768" spans="1:6" x14ac:dyDescent="0.3">
      <c r="A768">
        <v>767</v>
      </c>
      <c r="B768" t="s">
        <v>2943</v>
      </c>
      <c r="C768" t="s">
        <v>32</v>
      </c>
      <c r="D768" s="1" t="s">
        <v>2944</v>
      </c>
      <c r="E768" t="s">
        <v>2945</v>
      </c>
      <c r="F768" t="s">
        <v>2946</v>
      </c>
    </row>
    <row r="769" spans="1:6" x14ac:dyDescent="0.3">
      <c r="A769">
        <v>768</v>
      </c>
      <c r="B769" t="s">
        <v>2947</v>
      </c>
      <c r="C769" t="s">
        <v>32</v>
      </c>
      <c r="D769" s="1" t="s">
        <v>2948</v>
      </c>
      <c r="E769" t="s">
        <v>2949</v>
      </c>
      <c r="F769" t="s">
        <v>2950</v>
      </c>
    </row>
    <row r="770" spans="1:6" x14ac:dyDescent="0.3">
      <c r="A770">
        <v>769</v>
      </c>
      <c r="B770" t="s">
        <v>2951</v>
      </c>
      <c r="C770" t="s">
        <v>45</v>
      </c>
      <c r="D770" s="1" t="s">
        <v>2952</v>
      </c>
      <c r="E770" t="s">
        <v>2953</v>
      </c>
      <c r="F770" t="s">
        <v>2954</v>
      </c>
    </row>
    <row r="771" spans="1:6" x14ac:dyDescent="0.3">
      <c r="A771">
        <v>770</v>
      </c>
      <c r="B771" t="s">
        <v>2955</v>
      </c>
      <c r="C771" t="s">
        <v>7</v>
      </c>
      <c r="D771" s="1" t="s">
        <v>2956</v>
      </c>
      <c r="E771" t="s">
        <v>366</v>
      </c>
      <c r="F771" t="s">
        <v>2957</v>
      </c>
    </row>
    <row r="772" spans="1:6" x14ac:dyDescent="0.3">
      <c r="A772">
        <v>771</v>
      </c>
      <c r="B772" t="s">
        <v>2958</v>
      </c>
      <c r="C772" t="s">
        <v>11</v>
      </c>
      <c r="D772" s="1" t="s">
        <v>2959</v>
      </c>
      <c r="E772" t="s">
        <v>1553</v>
      </c>
      <c r="F772" t="s">
        <v>2960</v>
      </c>
    </row>
    <row r="773" spans="1:6" x14ac:dyDescent="0.3">
      <c r="A773">
        <v>772</v>
      </c>
      <c r="B773" t="s">
        <v>2961</v>
      </c>
      <c r="C773" t="s">
        <v>7</v>
      </c>
      <c r="D773" s="1" t="s">
        <v>2962</v>
      </c>
      <c r="E773" t="s">
        <v>2963</v>
      </c>
      <c r="F773" t="s">
        <v>2964</v>
      </c>
    </row>
    <row r="774" spans="1:6" x14ac:dyDescent="0.3">
      <c r="A774">
        <v>773</v>
      </c>
      <c r="B774" t="s">
        <v>2965</v>
      </c>
      <c r="C774" t="s">
        <v>11</v>
      </c>
      <c r="D774" s="1" t="s">
        <v>2966</v>
      </c>
      <c r="E774" t="s">
        <v>2967</v>
      </c>
      <c r="F774" t="s">
        <v>2968</v>
      </c>
    </row>
    <row r="775" spans="1:6" x14ac:dyDescent="0.3">
      <c r="A775">
        <v>774</v>
      </c>
      <c r="B775" t="s">
        <v>2969</v>
      </c>
      <c r="C775" t="s">
        <v>45</v>
      </c>
      <c r="D775" s="1" t="s">
        <v>2970</v>
      </c>
      <c r="E775" t="s">
        <v>2921</v>
      </c>
      <c r="F775" t="s">
        <v>2971</v>
      </c>
    </row>
    <row r="776" spans="1:6" x14ac:dyDescent="0.3">
      <c r="A776">
        <v>775</v>
      </c>
      <c r="B776" t="s">
        <v>2972</v>
      </c>
      <c r="C776" t="s">
        <v>32</v>
      </c>
      <c r="D776" s="1" t="s">
        <v>2973</v>
      </c>
      <c r="E776" t="s">
        <v>2974</v>
      </c>
      <c r="F776" t="s">
        <v>2975</v>
      </c>
    </row>
    <row r="777" spans="1:6" x14ac:dyDescent="0.3">
      <c r="A777">
        <v>776</v>
      </c>
      <c r="B777" t="s">
        <v>2976</v>
      </c>
      <c r="C777" t="s">
        <v>7</v>
      </c>
      <c r="D777" s="1" t="s">
        <v>2977</v>
      </c>
      <c r="E777" t="s">
        <v>2978</v>
      </c>
      <c r="F777" t="s">
        <v>2979</v>
      </c>
    </row>
    <row r="778" spans="1:6" x14ac:dyDescent="0.3">
      <c r="A778">
        <v>777</v>
      </c>
      <c r="B778" t="s">
        <v>2980</v>
      </c>
      <c r="C778" t="s">
        <v>45</v>
      </c>
      <c r="D778" s="1" t="s">
        <v>2981</v>
      </c>
      <c r="E778" t="s">
        <v>2982</v>
      </c>
      <c r="F778">
        <v>6766883967</v>
      </c>
    </row>
    <row r="779" spans="1:6" x14ac:dyDescent="0.3">
      <c r="A779">
        <v>778</v>
      </c>
      <c r="B779" t="s">
        <v>2983</v>
      </c>
      <c r="C779" t="s">
        <v>45</v>
      </c>
      <c r="D779" s="1" t="s">
        <v>2984</v>
      </c>
      <c r="E779" t="s">
        <v>2985</v>
      </c>
      <c r="F779">
        <v>1686096009</v>
      </c>
    </row>
    <row r="780" spans="1:6" x14ac:dyDescent="0.3">
      <c r="A780">
        <v>779</v>
      </c>
      <c r="B780" t="s">
        <v>2986</v>
      </c>
      <c r="C780" t="s">
        <v>7</v>
      </c>
      <c r="D780" s="1" t="s">
        <v>2987</v>
      </c>
      <c r="E780" t="s">
        <v>2988</v>
      </c>
      <c r="F780" t="s">
        <v>2989</v>
      </c>
    </row>
    <row r="781" spans="1:6" x14ac:dyDescent="0.3">
      <c r="A781">
        <v>780</v>
      </c>
      <c r="B781" t="s">
        <v>585</v>
      </c>
      <c r="C781" t="s">
        <v>45</v>
      </c>
      <c r="D781" s="1" t="s">
        <v>2990</v>
      </c>
      <c r="E781" t="s">
        <v>2991</v>
      </c>
      <c r="F781" t="s">
        <v>2992</v>
      </c>
    </row>
    <row r="782" spans="1:6" x14ac:dyDescent="0.3">
      <c r="A782">
        <v>781</v>
      </c>
      <c r="B782" t="s">
        <v>2993</v>
      </c>
      <c r="C782" t="s">
        <v>11</v>
      </c>
      <c r="D782" s="1" t="s">
        <v>2994</v>
      </c>
      <c r="E782" t="s">
        <v>2995</v>
      </c>
      <c r="F782" t="s">
        <v>2996</v>
      </c>
    </row>
    <row r="783" spans="1:6" x14ac:dyDescent="0.3">
      <c r="A783">
        <v>782</v>
      </c>
      <c r="B783" t="s">
        <v>2997</v>
      </c>
      <c r="C783" t="s">
        <v>7</v>
      </c>
      <c r="D783" s="1" t="s">
        <v>2998</v>
      </c>
      <c r="E783" t="s">
        <v>2999</v>
      </c>
      <c r="F783" t="s">
        <v>3000</v>
      </c>
    </row>
    <row r="784" spans="1:6" x14ac:dyDescent="0.3">
      <c r="A784">
        <v>783</v>
      </c>
      <c r="B784" t="s">
        <v>3001</v>
      </c>
      <c r="C784" t="s">
        <v>32</v>
      </c>
      <c r="D784" s="1" t="s">
        <v>3002</v>
      </c>
      <c r="E784" t="s">
        <v>3003</v>
      </c>
      <c r="F784" t="s">
        <v>3004</v>
      </c>
    </row>
    <row r="785" spans="1:6" x14ac:dyDescent="0.3">
      <c r="A785">
        <v>784</v>
      </c>
      <c r="B785" t="s">
        <v>3005</v>
      </c>
      <c r="C785" t="s">
        <v>32</v>
      </c>
      <c r="D785" s="1" t="s">
        <v>3006</v>
      </c>
      <c r="E785" t="s">
        <v>3007</v>
      </c>
      <c r="F785" t="s">
        <v>3008</v>
      </c>
    </row>
    <row r="786" spans="1:6" x14ac:dyDescent="0.3">
      <c r="A786">
        <v>785</v>
      </c>
      <c r="B786" t="s">
        <v>3009</v>
      </c>
      <c r="C786" t="s">
        <v>45</v>
      </c>
      <c r="D786" s="1" t="s">
        <v>3010</v>
      </c>
      <c r="E786" t="s">
        <v>3011</v>
      </c>
      <c r="F786" t="s">
        <v>3012</v>
      </c>
    </row>
    <row r="787" spans="1:6" x14ac:dyDescent="0.3">
      <c r="A787">
        <v>786</v>
      </c>
      <c r="B787" t="s">
        <v>3013</v>
      </c>
      <c r="C787" t="s">
        <v>32</v>
      </c>
      <c r="D787" s="1" t="s">
        <v>3014</v>
      </c>
      <c r="E787" t="s">
        <v>3015</v>
      </c>
      <c r="F787" t="s">
        <v>3016</v>
      </c>
    </row>
    <row r="788" spans="1:6" x14ac:dyDescent="0.3">
      <c r="A788">
        <v>787</v>
      </c>
      <c r="B788" t="s">
        <v>3017</v>
      </c>
      <c r="C788" t="s">
        <v>11</v>
      </c>
      <c r="D788" s="1" t="s">
        <v>3018</v>
      </c>
      <c r="E788" t="s">
        <v>3019</v>
      </c>
      <c r="F788" t="s">
        <v>3020</v>
      </c>
    </row>
    <row r="789" spans="1:6" x14ac:dyDescent="0.3">
      <c r="A789">
        <v>788</v>
      </c>
      <c r="B789" t="s">
        <v>3021</v>
      </c>
      <c r="C789" t="s">
        <v>7</v>
      </c>
      <c r="D789" s="1" t="s">
        <v>3022</v>
      </c>
      <c r="E789" t="s">
        <v>3023</v>
      </c>
      <c r="F789" t="s">
        <v>3024</v>
      </c>
    </row>
    <row r="790" spans="1:6" x14ac:dyDescent="0.3">
      <c r="A790">
        <v>789</v>
      </c>
      <c r="B790" t="s">
        <v>3025</v>
      </c>
      <c r="C790" t="s">
        <v>11</v>
      </c>
      <c r="D790" s="1" t="s">
        <v>3026</v>
      </c>
      <c r="E790" t="s">
        <v>3027</v>
      </c>
      <c r="F790" t="s">
        <v>3028</v>
      </c>
    </row>
    <row r="791" spans="1:6" x14ac:dyDescent="0.3">
      <c r="A791">
        <v>790</v>
      </c>
      <c r="B791" t="s">
        <v>3029</v>
      </c>
      <c r="C791" t="s">
        <v>7</v>
      </c>
      <c r="D791" s="1" t="s">
        <v>3030</v>
      </c>
      <c r="E791" t="s">
        <v>3031</v>
      </c>
      <c r="F791" t="s">
        <v>3032</v>
      </c>
    </row>
    <row r="792" spans="1:6" x14ac:dyDescent="0.3">
      <c r="A792">
        <v>791</v>
      </c>
      <c r="B792" t="s">
        <v>3033</v>
      </c>
      <c r="C792" t="s">
        <v>11</v>
      </c>
      <c r="D792" s="1" t="s">
        <v>3034</v>
      </c>
      <c r="E792" t="s">
        <v>3035</v>
      </c>
      <c r="F792" t="s">
        <v>3036</v>
      </c>
    </row>
    <row r="793" spans="1:6" x14ac:dyDescent="0.3">
      <c r="A793">
        <v>792</v>
      </c>
      <c r="B793" t="s">
        <v>3037</v>
      </c>
      <c r="C793" t="s">
        <v>45</v>
      </c>
      <c r="D793" s="1" t="s">
        <v>3038</v>
      </c>
      <c r="E793" t="s">
        <v>3039</v>
      </c>
      <c r="F793" t="s">
        <v>3040</v>
      </c>
    </row>
    <row r="794" spans="1:6" x14ac:dyDescent="0.3">
      <c r="A794">
        <v>793</v>
      </c>
      <c r="B794" t="s">
        <v>3041</v>
      </c>
      <c r="C794" t="s">
        <v>11</v>
      </c>
      <c r="D794" s="1" t="s">
        <v>3042</v>
      </c>
      <c r="E794" t="s">
        <v>3043</v>
      </c>
      <c r="F794" t="s">
        <v>3044</v>
      </c>
    </row>
    <row r="795" spans="1:6" x14ac:dyDescent="0.3">
      <c r="A795">
        <v>794</v>
      </c>
      <c r="B795" t="s">
        <v>3045</v>
      </c>
      <c r="C795" t="s">
        <v>7</v>
      </c>
      <c r="D795" s="1" t="s">
        <v>3046</v>
      </c>
      <c r="E795" t="s">
        <v>3047</v>
      </c>
      <c r="F795">
        <v>3124904832</v>
      </c>
    </row>
    <row r="796" spans="1:6" x14ac:dyDescent="0.3">
      <c r="A796">
        <v>795</v>
      </c>
      <c r="B796" t="s">
        <v>3048</v>
      </c>
      <c r="C796" t="s">
        <v>45</v>
      </c>
      <c r="D796" s="1" t="s">
        <v>3049</v>
      </c>
      <c r="E796" t="s">
        <v>3050</v>
      </c>
      <c r="F796" t="s">
        <v>3051</v>
      </c>
    </row>
    <row r="797" spans="1:6" x14ac:dyDescent="0.3">
      <c r="A797">
        <v>796</v>
      </c>
      <c r="B797" t="s">
        <v>3052</v>
      </c>
      <c r="C797" t="s">
        <v>7</v>
      </c>
      <c r="D797" s="1" t="s">
        <v>3053</v>
      </c>
      <c r="E797" t="s">
        <v>3054</v>
      </c>
      <c r="F797" t="s">
        <v>3055</v>
      </c>
    </row>
    <row r="798" spans="1:6" x14ac:dyDescent="0.3">
      <c r="A798">
        <v>797</v>
      </c>
      <c r="B798" t="s">
        <v>3056</v>
      </c>
      <c r="C798" t="s">
        <v>45</v>
      </c>
      <c r="D798" s="1" t="s">
        <v>3057</v>
      </c>
      <c r="E798" t="s">
        <v>3058</v>
      </c>
      <c r="F798" t="s">
        <v>3059</v>
      </c>
    </row>
    <row r="799" spans="1:6" x14ac:dyDescent="0.3">
      <c r="A799">
        <v>798</v>
      </c>
      <c r="B799" t="s">
        <v>3060</v>
      </c>
      <c r="C799" t="s">
        <v>11</v>
      </c>
      <c r="D799" s="1" t="s">
        <v>3061</v>
      </c>
      <c r="E799" t="s">
        <v>3062</v>
      </c>
      <c r="F799">
        <f>1-73-137-5460</f>
        <v>-5669</v>
      </c>
    </row>
    <row r="800" spans="1:6" x14ac:dyDescent="0.3">
      <c r="A800">
        <v>799</v>
      </c>
      <c r="B800" t="s">
        <v>3063</v>
      </c>
      <c r="C800" t="s">
        <v>45</v>
      </c>
      <c r="D800" s="1" t="s">
        <v>3064</v>
      </c>
      <c r="E800" t="s">
        <v>751</v>
      </c>
      <c r="F800" t="s">
        <v>3065</v>
      </c>
    </row>
    <row r="801" spans="1:6" x14ac:dyDescent="0.3">
      <c r="A801">
        <v>800</v>
      </c>
      <c r="B801" t="s">
        <v>3066</v>
      </c>
      <c r="C801" t="s">
        <v>45</v>
      </c>
      <c r="D801" s="1" t="s">
        <v>3067</v>
      </c>
      <c r="E801" t="s">
        <v>3068</v>
      </c>
      <c r="F801" t="s">
        <v>3069</v>
      </c>
    </row>
    <row r="802" spans="1:6" x14ac:dyDescent="0.3">
      <c r="A802">
        <v>801</v>
      </c>
      <c r="B802" t="s">
        <v>3070</v>
      </c>
      <c r="C802" t="s">
        <v>45</v>
      </c>
      <c r="D802" s="1" t="s">
        <v>3071</v>
      </c>
      <c r="E802" t="s">
        <v>3072</v>
      </c>
      <c r="F802" t="s">
        <v>3073</v>
      </c>
    </row>
    <row r="803" spans="1:6" x14ac:dyDescent="0.3">
      <c r="A803">
        <v>802</v>
      </c>
      <c r="B803" t="s">
        <v>2394</v>
      </c>
      <c r="C803" t="s">
        <v>45</v>
      </c>
      <c r="D803" s="1" t="s">
        <v>3074</v>
      </c>
      <c r="E803" t="s">
        <v>3075</v>
      </c>
      <c r="F803" t="s">
        <v>3076</v>
      </c>
    </row>
    <row r="804" spans="1:6" x14ac:dyDescent="0.3">
      <c r="A804">
        <v>803</v>
      </c>
      <c r="B804" t="s">
        <v>3077</v>
      </c>
      <c r="C804" t="s">
        <v>7</v>
      </c>
      <c r="D804" s="1" t="s">
        <v>3078</v>
      </c>
      <c r="E804" t="s">
        <v>3079</v>
      </c>
      <c r="F804" t="s">
        <v>3080</v>
      </c>
    </row>
    <row r="805" spans="1:6" x14ac:dyDescent="0.3">
      <c r="A805">
        <v>804</v>
      </c>
      <c r="B805" t="s">
        <v>2136</v>
      </c>
      <c r="C805" t="s">
        <v>32</v>
      </c>
      <c r="D805" s="1" t="s">
        <v>3081</v>
      </c>
      <c r="E805" t="s">
        <v>1390</v>
      </c>
      <c r="F805" t="s">
        <v>3082</v>
      </c>
    </row>
    <row r="806" spans="1:6" x14ac:dyDescent="0.3">
      <c r="A806">
        <v>805</v>
      </c>
      <c r="B806" t="s">
        <v>3083</v>
      </c>
      <c r="C806" t="s">
        <v>32</v>
      </c>
      <c r="D806" s="1" t="s">
        <v>3084</v>
      </c>
      <c r="E806" t="s">
        <v>3085</v>
      </c>
      <c r="F806" t="s">
        <v>3086</v>
      </c>
    </row>
    <row r="807" spans="1:6" x14ac:dyDescent="0.3">
      <c r="A807">
        <v>806</v>
      </c>
      <c r="B807" t="s">
        <v>3087</v>
      </c>
      <c r="C807" t="s">
        <v>7</v>
      </c>
      <c r="D807" s="1" t="s">
        <v>3088</v>
      </c>
      <c r="E807" t="s">
        <v>3089</v>
      </c>
      <c r="F807" t="s">
        <v>3090</v>
      </c>
    </row>
    <row r="808" spans="1:6" x14ac:dyDescent="0.3">
      <c r="A808">
        <v>807</v>
      </c>
      <c r="B808" t="s">
        <v>3091</v>
      </c>
      <c r="C808" t="s">
        <v>7</v>
      </c>
      <c r="D808" s="1" t="s">
        <v>3092</v>
      </c>
      <c r="E808" t="s">
        <v>3093</v>
      </c>
      <c r="F808" t="s">
        <v>3094</v>
      </c>
    </row>
    <row r="809" spans="1:6" x14ac:dyDescent="0.3">
      <c r="A809">
        <v>808</v>
      </c>
      <c r="B809" t="s">
        <v>3095</v>
      </c>
      <c r="C809" t="s">
        <v>11</v>
      </c>
      <c r="D809" s="1" t="s">
        <v>3096</v>
      </c>
      <c r="E809" t="s">
        <v>1026</v>
      </c>
      <c r="F809" t="s">
        <v>3097</v>
      </c>
    </row>
    <row r="810" spans="1:6" x14ac:dyDescent="0.3">
      <c r="A810">
        <v>809</v>
      </c>
      <c r="B810" t="s">
        <v>3098</v>
      </c>
      <c r="C810" t="s">
        <v>32</v>
      </c>
      <c r="D810" s="1" t="s">
        <v>3099</v>
      </c>
      <c r="E810" t="s">
        <v>3100</v>
      </c>
      <c r="F810" t="s">
        <v>3101</v>
      </c>
    </row>
    <row r="811" spans="1:6" x14ac:dyDescent="0.3">
      <c r="A811">
        <v>810</v>
      </c>
      <c r="B811" t="s">
        <v>3102</v>
      </c>
      <c r="C811" t="s">
        <v>45</v>
      </c>
      <c r="D811" s="1" t="s">
        <v>3103</v>
      </c>
      <c r="E811" t="s">
        <v>3104</v>
      </c>
      <c r="F811" t="s">
        <v>3105</v>
      </c>
    </row>
    <row r="812" spans="1:6" x14ac:dyDescent="0.3">
      <c r="A812">
        <v>811</v>
      </c>
      <c r="B812" t="s">
        <v>3106</v>
      </c>
      <c r="C812" t="s">
        <v>11</v>
      </c>
      <c r="D812" s="1" t="s">
        <v>3107</v>
      </c>
      <c r="E812" t="s">
        <v>3108</v>
      </c>
      <c r="F812" t="s">
        <v>3109</v>
      </c>
    </row>
    <row r="813" spans="1:6" x14ac:dyDescent="0.3">
      <c r="A813">
        <v>812</v>
      </c>
      <c r="B813" t="s">
        <v>3110</v>
      </c>
      <c r="C813" t="s">
        <v>11</v>
      </c>
      <c r="D813" s="1" t="s">
        <v>3111</v>
      </c>
      <c r="E813" t="s">
        <v>3112</v>
      </c>
      <c r="F813" t="s">
        <v>3113</v>
      </c>
    </row>
    <row r="814" spans="1:6" x14ac:dyDescent="0.3">
      <c r="A814">
        <v>813</v>
      </c>
      <c r="B814" t="s">
        <v>3114</v>
      </c>
      <c r="C814" t="s">
        <v>7</v>
      </c>
      <c r="D814" s="1" t="s">
        <v>3115</v>
      </c>
      <c r="E814" t="s">
        <v>3116</v>
      </c>
      <c r="F814" t="s">
        <v>3117</v>
      </c>
    </row>
    <row r="815" spans="1:6" x14ac:dyDescent="0.3">
      <c r="A815">
        <v>814</v>
      </c>
      <c r="B815" t="s">
        <v>3118</v>
      </c>
      <c r="C815" t="s">
        <v>11</v>
      </c>
      <c r="D815" s="1" t="s">
        <v>3119</v>
      </c>
      <c r="E815" t="s">
        <v>3120</v>
      </c>
      <c r="F815" t="s">
        <v>3121</v>
      </c>
    </row>
    <row r="816" spans="1:6" x14ac:dyDescent="0.3">
      <c r="A816">
        <v>815</v>
      </c>
      <c r="B816" t="s">
        <v>3122</v>
      </c>
      <c r="C816" t="s">
        <v>11</v>
      </c>
      <c r="D816" s="1" t="s">
        <v>3123</v>
      </c>
      <c r="E816" t="s">
        <v>3124</v>
      </c>
      <c r="F816" t="s">
        <v>3125</v>
      </c>
    </row>
    <row r="817" spans="1:6" x14ac:dyDescent="0.3">
      <c r="A817">
        <v>816</v>
      </c>
      <c r="B817" t="s">
        <v>3126</v>
      </c>
      <c r="C817" t="s">
        <v>7</v>
      </c>
      <c r="D817" s="1" t="s">
        <v>3127</v>
      </c>
      <c r="E817" t="s">
        <v>3128</v>
      </c>
      <c r="F817" t="s">
        <v>3129</v>
      </c>
    </row>
    <row r="818" spans="1:6" x14ac:dyDescent="0.3">
      <c r="A818">
        <v>817</v>
      </c>
      <c r="B818" t="s">
        <v>3130</v>
      </c>
      <c r="C818" t="s">
        <v>32</v>
      </c>
      <c r="D818" s="1" t="s">
        <v>3131</v>
      </c>
      <c r="E818" t="s">
        <v>3132</v>
      </c>
      <c r="F818">
        <f>1-104-312-3559</f>
        <v>-3974</v>
      </c>
    </row>
    <row r="819" spans="1:6" x14ac:dyDescent="0.3">
      <c r="A819">
        <v>818</v>
      </c>
      <c r="B819" t="s">
        <v>3133</v>
      </c>
      <c r="C819" t="s">
        <v>32</v>
      </c>
      <c r="D819" s="1" t="s">
        <v>3134</v>
      </c>
      <c r="E819" t="s">
        <v>3135</v>
      </c>
      <c r="F819" t="s">
        <v>3136</v>
      </c>
    </row>
    <row r="820" spans="1:6" x14ac:dyDescent="0.3">
      <c r="A820">
        <v>819</v>
      </c>
      <c r="B820" t="s">
        <v>3137</v>
      </c>
      <c r="C820" t="s">
        <v>32</v>
      </c>
      <c r="D820" s="1" t="s">
        <v>3138</v>
      </c>
      <c r="E820" t="s">
        <v>3139</v>
      </c>
      <c r="F820" t="s">
        <v>3140</v>
      </c>
    </row>
    <row r="821" spans="1:6" x14ac:dyDescent="0.3">
      <c r="A821">
        <v>820</v>
      </c>
      <c r="B821" t="s">
        <v>3141</v>
      </c>
      <c r="C821" t="s">
        <v>7</v>
      </c>
      <c r="D821" s="1" t="s">
        <v>3142</v>
      </c>
      <c r="E821" t="s">
        <v>3143</v>
      </c>
      <c r="F821" t="s">
        <v>3144</v>
      </c>
    </row>
    <row r="822" spans="1:6" x14ac:dyDescent="0.3">
      <c r="A822">
        <v>821</v>
      </c>
      <c r="B822" t="s">
        <v>3145</v>
      </c>
      <c r="C822" t="s">
        <v>7</v>
      </c>
      <c r="D822" s="1" t="s">
        <v>3146</v>
      </c>
      <c r="E822" t="s">
        <v>3147</v>
      </c>
      <c r="F822" t="s">
        <v>3148</v>
      </c>
    </row>
    <row r="823" spans="1:6" x14ac:dyDescent="0.3">
      <c r="A823">
        <v>822</v>
      </c>
      <c r="B823" t="s">
        <v>3149</v>
      </c>
      <c r="C823" t="s">
        <v>11</v>
      </c>
      <c r="D823" s="1" t="s">
        <v>3150</v>
      </c>
      <c r="E823" t="s">
        <v>3151</v>
      </c>
      <c r="F823">
        <v>5020875543</v>
      </c>
    </row>
    <row r="824" spans="1:6" x14ac:dyDescent="0.3">
      <c r="A824">
        <v>823</v>
      </c>
      <c r="B824" t="s">
        <v>3152</v>
      </c>
      <c r="C824" t="s">
        <v>32</v>
      </c>
      <c r="D824" s="1" t="s">
        <v>3153</v>
      </c>
      <c r="E824" t="s">
        <v>3154</v>
      </c>
      <c r="F824">
        <f>1-698-306-6977</f>
        <v>-7980</v>
      </c>
    </row>
    <row r="825" spans="1:6" x14ac:dyDescent="0.3">
      <c r="A825">
        <v>824</v>
      </c>
      <c r="B825" t="s">
        <v>3155</v>
      </c>
      <c r="C825" t="s">
        <v>7</v>
      </c>
      <c r="D825" s="1" t="s">
        <v>3156</v>
      </c>
      <c r="E825" t="s">
        <v>3157</v>
      </c>
      <c r="F825" t="s">
        <v>3158</v>
      </c>
    </row>
    <row r="826" spans="1:6" x14ac:dyDescent="0.3">
      <c r="A826">
        <v>825</v>
      </c>
      <c r="B826" t="s">
        <v>3159</v>
      </c>
      <c r="C826" t="s">
        <v>7</v>
      </c>
      <c r="D826" s="1" t="s">
        <v>3160</v>
      </c>
      <c r="E826" t="s">
        <v>3161</v>
      </c>
      <c r="F826" t="s">
        <v>3162</v>
      </c>
    </row>
    <row r="827" spans="1:6" x14ac:dyDescent="0.3">
      <c r="A827">
        <v>826</v>
      </c>
      <c r="B827" t="s">
        <v>3163</v>
      </c>
      <c r="C827" t="s">
        <v>7</v>
      </c>
      <c r="D827" s="1" t="s">
        <v>3164</v>
      </c>
      <c r="E827" t="s">
        <v>3165</v>
      </c>
      <c r="F827" t="s">
        <v>3166</v>
      </c>
    </row>
    <row r="828" spans="1:6" x14ac:dyDescent="0.3">
      <c r="A828">
        <v>827</v>
      </c>
      <c r="B828" t="s">
        <v>3167</v>
      </c>
      <c r="C828" t="s">
        <v>11</v>
      </c>
      <c r="D828" s="1" t="s">
        <v>3168</v>
      </c>
      <c r="E828" t="s">
        <v>3169</v>
      </c>
      <c r="F828" t="s">
        <v>3170</v>
      </c>
    </row>
    <row r="829" spans="1:6" x14ac:dyDescent="0.3">
      <c r="A829">
        <v>828</v>
      </c>
      <c r="B829" t="s">
        <v>633</v>
      </c>
      <c r="C829" t="s">
        <v>45</v>
      </c>
      <c r="D829" s="1" t="s">
        <v>3171</v>
      </c>
      <c r="E829" t="s">
        <v>3172</v>
      </c>
      <c r="F829" t="s">
        <v>3173</v>
      </c>
    </row>
    <row r="830" spans="1:6" x14ac:dyDescent="0.3">
      <c r="A830">
        <v>829</v>
      </c>
      <c r="B830" t="s">
        <v>3174</v>
      </c>
      <c r="C830" t="s">
        <v>11</v>
      </c>
      <c r="D830" s="1" t="s">
        <v>3175</v>
      </c>
      <c r="E830" t="s">
        <v>3176</v>
      </c>
      <c r="F830" t="s">
        <v>3177</v>
      </c>
    </row>
    <row r="831" spans="1:6" x14ac:dyDescent="0.3">
      <c r="A831">
        <v>830</v>
      </c>
      <c r="B831" t="s">
        <v>3178</v>
      </c>
      <c r="C831" t="s">
        <v>45</v>
      </c>
      <c r="D831" s="1" t="s">
        <v>3179</v>
      </c>
      <c r="E831" t="s">
        <v>3180</v>
      </c>
      <c r="F831" t="s">
        <v>3181</v>
      </c>
    </row>
    <row r="832" spans="1:6" x14ac:dyDescent="0.3">
      <c r="A832">
        <v>831</v>
      </c>
      <c r="B832" t="s">
        <v>3182</v>
      </c>
      <c r="C832" t="s">
        <v>45</v>
      </c>
      <c r="D832" s="1" t="s">
        <v>3183</v>
      </c>
      <c r="E832" t="s">
        <v>3184</v>
      </c>
      <c r="F832" t="s">
        <v>3185</v>
      </c>
    </row>
    <row r="833" spans="1:6" x14ac:dyDescent="0.3">
      <c r="A833">
        <v>832</v>
      </c>
      <c r="B833" t="s">
        <v>3186</v>
      </c>
      <c r="C833" t="s">
        <v>7</v>
      </c>
      <c r="D833" s="1" t="s">
        <v>3187</v>
      </c>
      <c r="E833" t="s">
        <v>3188</v>
      </c>
      <c r="F833" t="s">
        <v>3189</v>
      </c>
    </row>
    <row r="834" spans="1:6" x14ac:dyDescent="0.3">
      <c r="A834">
        <v>833</v>
      </c>
      <c r="B834" t="s">
        <v>3190</v>
      </c>
      <c r="C834" t="s">
        <v>45</v>
      </c>
      <c r="D834" s="1" t="s">
        <v>3191</v>
      </c>
      <c r="E834" t="s">
        <v>3192</v>
      </c>
      <c r="F834" t="s">
        <v>3193</v>
      </c>
    </row>
    <row r="835" spans="1:6" x14ac:dyDescent="0.3">
      <c r="A835">
        <v>834</v>
      </c>
      <c r="B835" t="s">
        <v>3194</v>
      </c>
      <c r="C835" t="s">
        <v>7</v>
      </c>
      <c r="D835" s="1" t="s">
        <v>3195</v>
      </c>
      <c r="E835" t="s">
        <v>3196</v>
      </c>
      <c r="F835" t="s">
        <v>3197</v>
      </c>
    </row>
    <row r="836" spans="1:6" x14ac:dyDescent="0.3">
      <c r="A836">
        <v>835</v>
      </c>
      <c r="B836" t="s">
        <v>3198</v>
      </c>
      <c r="C836" t="s">
        <v>45</v>
      </c>
      <c r="D836" s="1" t="s">
        <v>3199</v>
      </c>
      <c r="E836" t="s">
        <v>3200</v>
      </c>
      <c r="F836" t="s">
        <v>3201</v>
      </c>
    </row>
    <row r="837" spans="1:6" x14ac:dyDescent="0.3">
      <c r="A837">
        <v>836</v>
      </c>
      <c r="B837" t="s">
        <v>3202</v>
      </c>
      <c r="C837" t="s">
        <v>45</v>
      </c>
      <c r="D837" s="1" t="s">
        <v>3203</v>
      </c>
      <c r="E837" t="s">
        <v>3204</v>
      </c>
      <c r="F837" t="s">
        <v>3205</v>
      </c>
    </row>
    <row r="838" spans="1:6" x14ac:dyDescent="0.3">
      <c r="A838">
        <v>837</v>
      </c>
      <c r="B838" t="s">
        <v>3206</v>
      </c>
      <c r="C838" t="s">
        <v>7</v>
      </c>
      <c r="D838" s="1" t="s">
        <v>3207</v>
      </c>
      <c r="E838" t="s">
        <v>3208</v>
      </c>
      <c r="F838" t="s">
        <v>3209</v>
      </c>
    </row>
    <row r="839" spans="1:6" x14ac:dyDescent="0.3">
      <c r="A839">
        <v>838</v>
      </c>
      <c r="B839" t="s">
        <v>3210</v>
      </c>
      <c r="C839" t="s">
        <v>11</v>
      </c>
      <c r="D839" s="1" t="s">
        <v>3211</v>
      </c>
      <c r="E839" t="s">
        <v>3212</v>
      </c>
      <c r="F839" t="s">
        <v>3213</v>
      </c>
    </row>
    <row r="840" spans="1:6" x14ac:dyDescent="0.3">
      <c r="A840">
        <v>839</v>
      </c>
      <c r="B840" t="s">
        <v>3214</v>
      </c>
      <c r="C840" t="s">
        <v>11</v>
      </c>
      <c r="D840" s="1" t="s">
        <v>3215</v>
      </c>
      <c r="E840" t="s">
        <v>3216</v>
      </c>
      <c r="F840" t="s">
        <v>3217</v>
      </c>
    </row>
    <row r="841" spans="1:6" x14ac:dyDescent="0.3">
      <c r="A841">
        <v>840</v>
      </c>
      <c r="B841" t="s">
        <v>3218</v>
      </c>
      <c r="C841" t="s">
        <v>32</v>
      </c>
      <c r="D841" s="1" t="s">
        <v>3219</v>
      </c>
      <c r="E841" t="s">
        <v>3220</v>
      </c>
      <c r="F841" t="s">
        <v>3221</v>
      </c>
    </row>
    <row r="842" spans="1:6" x14ac:dyDescent="0.3">
      <c r="A842">
        <v>841</v>
      </c>
      <c r="B842" t="s">
        <v>1323</v>
      </c>
      <c r="C842" t="s">
        <v>32</v>
      </c>
      <c r="D842" s="1" t="s">
        <v>3222</v>
      </c>
      <c r="E842" t="s">
        <v>3223</v>
      </c>
      <c r="F842" t="s">
        <v>3224</v>
      </c>
    </row>
    <row r="843" spans="1:6" x14ac:dyDescent="0.3">
      <c r="A843">
        <v>842</v>
      </c>
      <c r="B843" t="s">
        <v>3225</v>
      </c>
      <c r="C843" t="s">
        <v>7</v>
      </c>
      <c r="D843" s="1" t="s">
        <v>3226</v>
      </c>
      <c r="E843" t="s">
        <v>3227</v>
      </c>
      <c r="F843" t="s">
        <v>3228</v>
      </c>
    </row>
    <row r="844" spans="1:6" x14ac:dyDescent="0.3">
      <c r="A844">
        <v>843</v>
      </c>
      <c r="B844" t="s">
        <v>3229</v>
      </c>
      <c r="C844" t="s">
        <v>45</v>
      </c>
      <c r="D844" s="1" t="s">
        <v>3230</v>
      </c>
      <c r="E844" t="s">
        <v>3231</v>
      </c>
      <c r="F844" t="s">
        <v>3232</v>
      </c>
    </row>
    <row r="845" spans="1:6" x14ac:dyDescent="0.3">
      <c r="A845">
        <v>844</v>
      </c>
      <c r="B845" t="s">
        <v>3233</v>
      </c>
      <c r="C845" t="s">
        <v>11</v>
      </c>
      <c r="D845" s="1" t="s">
        <v>3234</v>
      </c>
      <c r="E845" t="s">
        <v>3235</v>
      </c>
      <c r="F845">
        <v>9339428554</v>
      </c>
    </row>
    <row r="846" spans="1:6" x14ac:dyDescent="0.3">
      <c r="A846">
        <v>845</v>
      </c>
      <c r="B846" t="s">
        <v>3236</v>
      </c>
      <c r="C846" t="s">
        <v>7</v>
      </c>
      <c r="D846" s="1" t="s">
        <v>3237</v>
      </c>
      <c r="E846" t="s">
        <v>3238</v>
      </c>
      <c r="F846" t="s">
        <v>3239</v>
      </c>
    </row>
    <row r="847" spans="1:6" x14ac:dyDescent="0.3">
      <c r="A847">
        <v>846</v>
      </c>
      <c r="B847" t="s">
        <v>2275</v>
      </c>
      <c r="C847" t="s">
        <v>7</v>
      </c>
      <c r="D847" s="1" t="s">
        <v>3240</v>
      </c>
      <c r="E847" t="s">
        <v>3241</v>
      </c>
      <c r="F847" t="s">
        <v>3242</v>
      </c>
    </row>
    <row r="848" spans="1:6" x14ac:dyDescent="0.3">
      <c r="A848">
        <v>847</v>
      </c>
      <c r="B848" t="s">
        <v>3243</v>
      </c>
      <c r="C848" t="s">
        <v>7</v>
      </c>
      <c r="D848" s="1" t="s">
        <v>3244</v>
      </c>
      <c r="E848" t="s">
        <v>3245</v>
      </c>
      <c r="F848" t="s">
        <v>3246</v>
      </c>
    </row>
    <row r="849" spans="1:6" x14ac:dyDescent="0.3">
      <c r="A849">
        <v>848</v>
      </c>
      <c r="B849" t="s">
        <v>3247</v>
      </c>
      <c r="C849" t="s">
        <v>7</v>
      </c>
      <c r="D849" s="1" t="s">
        <v>3248</v>
      </c>
      <c r="E849" t="s">
        <v>3249</v>
      </c>
      <c r="F849" t="s">
        <v>3250</v>
      </c>
    </row>
    <row r="850" spans="1:6" x14ac:dyDescent="0.3">
      <c r="A850">
        <v>849</v>
      </c>
      <c r="B850" t="s">
        <v>69</v>
      </c>
      <c r="C850" t="s">
        <v>7</v>
      </c>
      <c r="D850" s="1" t="s">
        <v>3251</v>
      </c>
      <c r="E850" t="s">
        <v>1328</v>
      </c>
      <c r="F850" t="s">
        <v>3252</v>
      </c>
    </row>
    <row r="851" spans="1:6" x14ac:dyDescent="0.3">
      <c r="A851">
        <v>850</v>
      </c>
      <c r="B851" t="s">
        <v>3253</v>
      </c>
      <c r="C851" t="s">
        <v>11</v>
      </c>
      <c r="D851" s="1" t="s">
        <v>3254</v>
      </c>
      <c r="E851" t="s">
        <v>3255</v>
      </c>
      <c r="F851" t="s">
        <v>3256</v>
      </c>
    </row>
    <row r="852" spans="1:6" x14ac:dyDescent="0.3">
      <c r="A852">
        <v>851</v>
      </c>
      <c r="B852" t="s">
        <v>3257</v>
      </c>
      <c r="C852" t="s">
        <v>7</v>
      </c>
      <c r="D852" s="1" t="s">
        <v>3258</v>
      </c>
      <c r="E852" t="s">
        <v>3259</v>
      </c>
      <c r="F852" t="s">
        <v>3260</v>
      </c>
    </row>
    <row r="853" spans="1:6" x14ac:dyDescent="0.3">
      <c r="A853">
        <v>852</v>
      </c>
      <c r="B853" t="s">
        <v>3261</v>
      </c>
      <c r="C853" t="s">
        <v>11</v>
      </c>
      <c r="D853" s="1" t="s">
        <v>3262</v>
      </c>
      <c r="E853" t="s">
        <v>3263</v>
      </c>
      <c r="F853" t="s">
        <v>3264</v>
      </c>
    </row>
    <row r="854" spans="1:6" x14ac:dyDescent="0.3">
      <c r="A854">
        <v>853</v>
      </c>
      <c r="B854" t="s">
        <v>3265</v>
      </c>
      <c r="C854" t="s">
        <v>45</v>
      </c>
      <c r="D854" s="1" t="s">
        <v>3266</v>
      </c>
      <c r="E854" t="s">
        <v>3267</v>
      </c>
      <c r="F854">
        <v>3908403570</v>
      </c>
    </row>
    <row r="855" spans="1:6" x14ac:dyDescent="0.3">
      <c r="A855">
        <v>854</v>
      </c>
      <c r="B855" t="s">
        <v>3268</v>
      </c>
      <c r="C855" t="s">
        <v>7</v>
      </c>
      <c r="D855" s="1" t="s">
        <v>3269</v>
      </c>
      <c r="E855" t="s">
        <v>3270</v>
      </c>
      <c r="F855" t="s">
        <v>3271</v>
      </c>
    </row>
    <row r="856" spans="1:6" x14ac:dyDescent="0.3">
      <c r="A856">
        <v>855</v>
      </c>
      <c r="B856" t="s">
        <v>3272</v>
      </c>
      <c r="C856" t="s">
        <v>32</v>
      </c>
      <c r="D856" s="1" t="s">
        <v>3273</v>
      </c>
      <c r="E856" t="s">
        <v>3274</v>
      </c>
      <c r="F856" t="s">
        <v>3275</v>
      </c>
    </row>
    <row r="857" spans="1:6" x14ac:dyDescent="0.3">
      <c r="A857">
        <v>856</v>
      </c>
      <c r="B857" t="s">
        <v>3276</v>
      </c>
      <c r="C857" t="s">
        <v>11</v>
      </c>
      <c r="D857" s="1" t="s">
        <v>3277</v>
      </c>
      <c r="E857" t="s">
        <v>3278</v>
      </c>
      <c r="F857" t="s">
        <v>3279</v>
      </c>
    </row>
    <row r="858" spans="1:6" x14ac:dyDescent="0.3">
      <c r="A858">
        <v>857</v>
      </c>
      <c r="B858" t="s">
        <v>3280</v>
      </c>
      <c r="C858" t="s">
        <v>7</v>
      </c>
      <c r="D858" s="1" t="s">
        <v>3281</v>
      </c>
      <c r="E858" t="s">
        <v>3282</v>
      </c>
      <c r="F858" t="s">
        <v>3283</v>
      </c>
    </row>
    <row r="859" spans="1:6" x14ac:dyDescent="0.3">
      <c r="A859">
        <v>858</v>
      </c>
      <c r="B859" t="s">
        <v>3284</v>
      </c>
      <c r="C859" t="s">
        <v>32</v>
      </c>
      <c r="D859" s="1" t="s">
        <v>3285</v>
      </c>
      <c r="E859" t="s">
        <v>3286</v>
      </c>
      <c r="F859">
        <f>1-978-137-1967</f>
        <v>-3081</v>
      </c>
    </row>
    <row r="860" spans="1:6" x14ac:dyDescent="0.3">
      <c r="A860">
        <v>859</v>
      </c>
      <c r="B860" t="s">
        <v>3287</v>
      </c>
      <c r="C860" t="s">
        <v>32</v>
      </c>
      <c r="D860" s="1" t="s">
        <v>3288</v>
      </c>
      <c r="E860" t="s">
        <v>3289</v>
      </c>
      <c r="F860" t="s">
        <v>3290</v>
      </c>
    </row>
    <row r="861" spans="1:6" x14ac:dyDescent="0.3">
      <c r="A861">
        <v>860</v>
      </c>
      <c r="B861" t="s">
        <v>3291</v>
      </c>
      <c r="C861" t="s">
        <v>45</v>
      </c>
      <c r="D861" s="1" t="s">
        <v>3292</v>
      </c>
      <c r="E861" t="s">
        <v>3293</v>
      </c>
      <c r="F861" t="s">
        <v>3294</v>
      </c>
    </row>
    <row r="862" spans="1:6" x14ac:dyDescent="0.3">
      <c r="A862">
        <v>861</v>
      </c>
      <c r="B862" t="s">
        <v>3295</v>
      </c>
      <c r="C862" t="s">
        <v>11</v>
      </c>
      <c r="D862" s="1" t="s">
        <v>3296</v>
      </c>
      <c r="E862" t="s">
        <v>3297</v>
      </c>
      <c r="F862" t="s">
        <v>3298</v>
      </c>
    </row>
    <row r="863" spans="1:6" x14ac:dyDescent="0.3">
      <c r="A863">
        <v>862</v>
      </c>
      <c r="B863" t="s">
        <v>3299</v>
      </c>
      <c r="C863" t="s">
        <v>11</v>
      </c>
      <c r="D863" s="1" t="s">
        <v>3300</v>
      </c>
      <c r="E863" t="s">
        <v>3301</v>
      </c>
      <c r="F863" t="s">
        <v>3302</v>
      </c>
    </row>
    <row r="864" spans="1:6" x14ac:dyDescent="0.3">
      <c r="A864">
        <v>863</v>
      </c>
      <c r="B864" t="s">
        <v>3303</v>
      </c>
      <c r="C864" t="s">
        <v>32</v>
      </c>
      <c r="D864" s="1" t="s">
        <v>3304</v>
      </c>
      <c r="E864" t="s">
        <v>3305</v>
      </c>
      <c r="F864" t="s">
        <v>3306</v>
      </c>
    </row>
    <row r="865" spans="1:6" x14ac:dyDescent="0.3">
      <c r="A865">
        <v>864</v>
      </c>
      <c r="B865" t="s">
        <v>3307</v>
      </c>
      <c r="C865" t="s">
        <v>45</v>
      </c>
      <c r="D865" s="1" t="s">
        <v>3308</v>
      </c>
      <c r="E865" t="s">
        <v>3309</v>
      </c>
      <c r="F865">
        <f>1-913-248-1353</f>
        <v>-2513</v>
      </c>
    </row>
    <row r="866" spans="1:6" x14ac:dyDescent="0.3">
      <c r="A866">
        <v>865</v>
      </c>
      <c r="B866" t="s">
        <v>3310</v>
      </c>
      <c r="C866" t="s">
        <v>11</v>
      </c>
      <c r="D866" s="1" t="s">
        <v>3311</v>
      </c>
      <c r="E866" t="s">
        <v>3312</v>
      </c>
      <c r="F866" t="s">
        <v>3313</v>
      </c>
    </row>
    <row r="867" spans="1:6" x14ac:dyDescent="0.3">
      <c r="A867">
        <v>866</v>
      </c>
      <c r="B867" t="s">
        <v>3314</v>
      </c>
      <c r="C867" t="s">
        <v>11</v>
      </c>
      <c r="D867" s="1" t="s">
        <v>3315</v>
      </c>
      <c r="E867" t="s">
        <v>3316</v>
      </c>
      <c r="F867" t="s">
        <v>3317</v>
      </c>
    </row>
    <row r="868" spans="1:6" x14ac:dyDescent="0.3">
      <c r="A868">
        <v>867</v>
      </c>
      <c r="B868" t="s">
        <v>3318</v>
      </c>
      <c r="C868" t="s">
        <v>7</v>
      </c>
      <c r="D868" s="1" t="s">
        <v>3319</v>
      </c>
      <c r="E868" t="s">
        <v>3320</v>
      </c>
      <c r="F868" t="s">
        <v>3321</v>
      </c>
    </row>
    <row r="869" spans="1:6" x14ac:dyDescent="0.3">
      <c r="A869">
        <v>868</v>
      </c>
      <c r="B869" t="s">
        <v>3322</v>
      </c>
      <c r="C869" t="s">
        <v>11</v>
      </c>
      <c r="D869" s="1" t="s">
        <v>3323</v>
      </c>
      <c r="E869" t="s">
        <v>3324</v>
      </c>
      <c r="F869" t="s">
        <v>3325</v>
      </c>
    </row>
    <row r="870" spans="1:6" x14ac:dyDescent="0.3">
      <c r="A870">
        <v>869</v>
      </c>
      <c r="B870" t="s">
        <v>3326</v>
      </c>
      <c r="C870" t="s">
        <v>32</v>
      </c>
      <c r="D870" s="1" t="s">
        <v>3327</v>
      </c>
      <c r="E870" t="s">
        <v>3328</v>
      </c>
      <c r="F870">
        <f>1-821-52-6448</f>
        <v>-7320</v>
      </c>
    </row>
    <row r="871" spans="1:6" x14ac:dyDescent="0.3">
      <c r="A871">
        <v>870</v>
      </c>
      <c r="B871" t="s">
        <v>3329</v>
      </c>
      <c r="C871" t="s">
        <v>7</v>
      </c>
      <c r="D871" s="1" t="s">
        <v>3330</v>
      </c>
      <c r="E871" t="s">
        <v>3331</v>
      </c>
      <c r="F871" t="s">
        <v>3332</v>
      </c>
    </row>
    <row r="872" spans="1:6" x14ac:dyDescent="0.3">
      <c r="A872">
        <v>871</v>
      </c>
      <c r="B872" t="s">
        <v>3333</v>
      </c>
      <c r="C872" t="s">
        <v>7</v>
      </c>
      <c r="D872" s="1" t="s">
        <v>3334</v>
      </c>
      <c r="E872" t="s">
        <v>3335</v>
      </c>
      <c r="F872" t="s">
        <v>3336</v>
      </c>
    </row>
    <row r="873" spans="1:6" x14ac:dyDescent="0.3">
      <c r="A873">
        <v>872</v>
      </c>
      <c r="B873" t="s">
        <v>3337</v>
      </c>
      <c r="C873" t="s">
        <v>7</v>
      </c>
      <c r="D873" s="1" t="s">
        <v>3338</v>
      </c>
      <c r="E873" t="s">
        <v>3339</v>
      </c>
      <c r="F873" t="s">
        <v>3340</v>
      </c>
    </row>
    <row r="874" spans="1:6" x14ac:dyDescent="0.3">
      <c r="A874">
        <v>873</v>
      </c>
      <c r="B874" t="s">
        <v>3341</v>
      </c>
      <c r="C874" t="s">
        <v>45</v>
      </c>
      <c r="D874" s="1" t="s">
        <v>3342</v>
      </c>
      <c r="E874" t="s">
        <v>3343</v>
      </c>
      <c r="F874" t="s">
        <v>3344</v>
      </c>
    </row>
    <row r="875" spans="1:6" x14ac:dyDescent="0.3">
      <c r="A875">
        <v>874</v>
      </c>
      <c r="B875" t="s">
        <v>3345</v>
      </c>
      <c r="C875" t="s">
        <v>45</v>
      </c>
      <c r="D875" s="1" t="s">
        <v>3346</v>
      </c>
      <c r="E875" t="s">
        <v>3347</v>
      </c>
      <c r="F875" t="s">
        <v>3348</v>
      </c>
    </row>
    <row r="876" spans="1:6" x14ac:dyDescent="0.3">
      <c r="A876">
        <v>875</v>
      </c>
      <c r="B876" t="s">
        <v>3349</v>
      </c>
      <c r="C876" t="s">
        <v>11</v>
      </c>
      <c r="D876" s="1" t="s">
        <v>3350</v>
      </c>
      <c r="E876" t="s">
        <v>3351</v>
      </c>
      <c r="F876" t="s">
        <v>3352</v>
      </c>
    </row>
    <row r="877" spans="1:6" x14ac:dyDescent="0.3">
      <c r="A877">
        <v>876</v>
      </c>
      <c r="B877" t="s">
        <v>3353</v>
      </c>
      <c r="C877" t="s">
        <v>11</v>
      </c>
      <c r="D877" s="1" t="s">
        <v>3354</v>
      </c>
      <c r="E877" t="s">
        <v>3355</v>
      </c>
      <c r="F877" t="s">
        <v>3356</v>
      </c>
    </row>
    <row r="878" spans="1:6" x14ac:dyDescent="0.3">
      <c r="A878">
        <v>877</v>
      </c>
      <c r="B878" t="s">
        <v>3357</v>
      </c>
      <c r="C878" t="s">
        <v>11</v>
      </c>
      <c r="D878" s="1" t="s">
        <v>3358</v>
      </c>
      <c r="E878" t="s">
        <v>3359</v>
      </c>
      <c r="F878" t="s">
        <v>3360</v>
      </c>
    </row>
    <row r="879" spans="1:6" x14ac:dyDescent="0.3">
      <c r="A879">
        <v>878</v>
      </c>
      <c r="B879" t="s">
        <v>3361</v>
      </c>
      <c r="C879" t="s">
        <v>7</v>
      </c>
      <c r="D879" s="1" t="s">
        <v>3362</v>
      </c>
      <c r="E879" t="s">
        <v>3363</v>
      </c>
      <c r="F879" t="s">
        <v>3364</v>
      </c>
    </row>
    <row r="880" spans="1:6" x14ac:dyDescent="0.3">
      <c r="A880">
        <v>879</v>
      </c>
      <c r="B880" t="s">
        <v>3365</v>
      </c>
      <c r="C880" t="s">
        <v>7</v>
      </c>
      <c r="D880" s="1" t="s">
        <v>3366</v>
      </c>
      <c r="E880" t="s">
        <v>3367</v>
      </c>
      <c r="F880" t="s">
        <v>3368</v>
      </c>
    </row>
    <row r="881" spans="1:6" x14ac:dyDescent="0.3">
      <c r="A881">
        <v>880</v>
      </c>
      <c r="B881" t="s">
        <v>3369</v>
      </c>
      <c r="C881" t="s">
        <v>45</v>
      </c>
      <c r="D881" s="1" t="s">
        <v>3370</v>
      </c>
      <c r="E881" t="s">
        <v>3371</v>
      </c>
      <c r="F881" t="s">
        <v>3372</v>
      </c>
    </row>
    <row r="882" spans="1:6" x14ac:dyDescent="0.3">
      <c r="A882">
        <v>881</v>
      </c>
      <c r="B882" t="s">
        <v>3373</v>
      </c>
      <c r="C882" t="s">
        <v>32</v>
      </c>
      <c r="D882" s="1" t="s">
        <v>3374</v>
      </c>
      <c r="E882" t="s">
        <v>3375</v>
      </c>
      <c r="F882" t="s">
        <v>3376</v>
      </c>
    </row>
    <row r="883" spans="1:6" x14ac:dyDescent="0.3">
      <c r="A883">
        <v>882</v>
      </c>
      <c r="B883" t="s">
        <v>3377</v>
      </c>
      <c r="C883" t="s">
        <v>7</v>
      </c>
      <c r="D883" s="1" t="s">
        <v>3378</v>
      </c>
      <c r="E883" t="s">
        <v>3379</v>
      </c>
      <c r="F883" t="s">
        <v>3380</v>
      </c>
    </row>
    <row r="884" spans="1:6" x14ac:dyDescent="0.3">
      <c r="A884">
        <v>883</v>
      </c>
      <c r="B884" t="s">
        <v>3381</v>
      </c>
      <c r="C884" t="s">
        <v>7</v>
      </c>
      <c r="D884" s="1" t="s">
        <v>3382</v>
      </c>
      <c r="E884" t="s">
        <v>3383</v>
      </c>
      <c r="F884" t="s">
        <v>3384</v>
      </c>
    </row>
    <row r="885" spans="1:6" x14ac:dyDescent="0.3">
      <c r="A885">
        <v>884</v>
      </c>
      <c r="B885" t="s">
        <v>3385</v>
      </c>
      <c r="C885" t="s">
        <v>11</v>
      </c>
      <c r="D885" s="1" t="s">
        <v>3386</v>
      </c>
      <c r="E885" t="s">
        <v>3387</v>
      </c>
      <c r="F885">
        <f>1-645-245-9145</f>
        <v>-10034</v>
      </c>
    </row>
    <row r="886" spans="1:6" x14ac:dyDescent="0.3">
      <c r="A886">
        <v>885</v>
      </c>
      <c r="B886" t="s">
        <v>3388</v>
      </c>
      <c r="C886" t="s">
        <v>32</v>
      </c>
      <c r="D886" s="1" t="s">
        <v>3389</v>
      </c>
      <c r="E886" t="s">
        <v>3390</v>
      </c>
      <c r="F886">
        <v>1906277080</v>
      </c>
    </row>
    <row r="887" spans="1:6" x14ac:dyDescent="0.3">
      <c r="A887">
        <v>886</v>
      </c>
      <c r="B887" t="s">
        <v>3391</v>
      </c>
      <c r="C887" t="s">
        <v>32</v>
      </c>
      <c r="D887" s="1" t="s">
        <v>3392</v>
      </c>
      <c r="E887" t="s">
        <v>3393</v>
      </c>
      <c r="F887" t="s">
        <v>3394</v>
      </c>
    </row>
    <row r="888" spans="1:6" x14ac:dyDescent="0.3">
      <c r="A888">
        <v>887</v>
      </c>
      <c r="B888" t="s">
        <v>3395</v>
      </c>
      <c r="C888" t="s">
        <v>7</v>
      </c>
      <c r="D888" s="1" t="s">
        <v>3396</v>
      </c>
      <c r="E888" t="s">
        <v>3397</v>
      </c>
      <c r="F888" t="s">
        <v>3398</v>
      </c>
    </row>
    <row r="889" spans="1:6" x14ac:dyDescent="0.3">
      <c r="A889">
        <v>888</v>
      </c>
      <c r="B889" t="s">
        <v>3399</v>
      </c>
      <c r="C889" t="s">
        <v>7</v>
      </c>
      <c r="D889" s="1" t="s">
        <v>3400</v>
      </c>
      <c r="E889" t="s">
        <v>3401</v>
      </c>
      <c r="F889" t="s">
        <v>3402</v>
      </c>
    </row>
    <row r="890" spans="1:6" x14ac:dyDescent="0.3">
      <c r="A890">
        <v>889</v>
      </c>
      <c r="B890" t="s">
        <v>3403</v>
      </c>
      <c r="C890" t="s">
        <v>32</v>
      </c>
      <c r="D890" s="1" t="s">
        <v>3404</v>
      </c>
      <c r="E890" t="s">
        <v>3405</v>
      </c>
      <c r="F890" t="s">
        <v>3406</v>
      </c>
    </row>
    <row r="891" spans="1:6" x14ac:dyDescent="0.3">
      <c r="A891">
        <v>890</v>
      </c>
      <c r="B891" t="s">
        <v>3407</v>
      </c>
      <c r="C891" t="s">
        <v>32</v>
      </c>
      <c r="D891" s="1" t="s">
        <v>3408</v>
      </c>
      <c r="E891" t="s">
        <v>3409</v>
      </c>
      <c r="F891" t="s">
        <v>3410</v>
      </c>
    </row>
    <row r="892" spans="1:6" x14ac:dyDescent="0.3">
      <c r="A892">
        <v>891</v>
      </c>
      <c r="B892" t="s">
        <v>3411</v>
      </c>
      <c r="C892" t="s">
        <v>7</v>
      </c>
      <c r="D892" s="1" t="s">
        <v>3412</v>
      </c>
      <c r="E892" t="s">
        <v>3413</v>
      </c>
      <c r="F892">
        <f>1-760-908-2031</f>
        <v>-3698</v>
      </c>
    </row>
    <row r="893" spans="1:6" x14ac:dyDescent="0.3">
      <c r="A893">
        <v>892</v>
      </c>
      <c r="B893" t="s">
        <v>3414</v>
      </c>
      <c r="C893" t="s">
        <v>11</v>
      </c>
      <c r="D893" s="1" t="s">
        <v>3415</v>
      </c>
      <c r="E893" t="s">
        <v>3416</v>
      </c>
      <c r="F893" t="s">
        <v>3417</v>
      </c>
    </row>
    <row r="894" spans="1:6" x14ac:dyDescent="0.3">
      <c r="A894">
        <v>893</v>
      </c>
      <c r="B894" t="s">
        <v>3418</v>
      </c>
      <c r="C894" t="s">
        <v>32</v>
      </c>
      <c r="D894" s="1" t="s">
        <v>3419</v>
      </c>
      <c r="E894" t="s">
        <v>3420</v>
      </c>
      <c r="F894" t="s">
        <v>3421</v>
      </c>
    </row>
    <row r="895" spans="1:6" x14ac:dyDescent="0.3">
      <c r="A895">
        <v>894</v>
      </c>
      <c r="B895" t="s">
        <v>3422</v>
      </c>
      <c r="C895" t="s">
        <v>32</v>
      </c>
      <c r="D895" s="1" t="s">
        <v>3423</v>
      </c>
      <c r="E895" t="s">
        <v>3424</v>
      </c>
      <c r="F895" t="s">
        <v>3425</v>
      </c>
    </row>
    <row r="896" spans="1:6" x14ac:dyDescent="0.3">
      <c r="A896">
        <v>895</v>
      </c>
      <c r="B896" t="s">
        <v>3426</v>
      </c>
      <c r="C896" t="s">
        <v>11</v>
      </c>
      <c r="D896" s="1" t="s">
        <v>3427</v>
      </c>
      <c r="E896" t="s">
        <v>3428</v>
      </c>
      <c r="F896" t="s">
        <v>3429</v>
      </c>
    </row>
    <row r="897" spans="1:6" x14ac:dyDescent="0.3">
      <c r="A897">
        <v>896</v>
      </c>
      <c r="B897" t="s">
        <v>3430</v>
      </c>
      <c r="C897" t="s">
        <v>11</v>
      </c>
      <c r="D897" s="1" t="s">
        <v>3431</v>
      </c>
      <c r="E897" t="s">
        <v>3432</v>
      </c>
      <c r="F897" t="s">
        <v>3433</v>
      </c>
    </row>
    <row r="898" spans="1:6" x14ac:dyDescent="0.3">
      <c r="A898">
        <v>897</v>
      </c>
      <c r="B898" t="s">
        <v>3434</v>
      </c>
      <c r="C898" t="s">
        <v>45</v>
      </c>
      <c r="D898" s="1" t="s">
        <v>3435</v>
      </c>
      <c r="E898" t="s">
        <v>3436</v>
      </c>
      <c r="F898" t="s">
        <v>3437</v>
      </c>
    </row>
    <row r="899" spans="1:6" x14ac:dyDescent="0.3">
      <c r="A899">
        <v>898</v>
      </c>
      <c r="B899" t="s">
        <v>3438</v>
      </c>
      <c r="C899" t="s">
        <v>32</v>
      </c>
      <c r="D899" s="1" t="s">
        <v>3439</v>
      </c>
      <c r="E899" t="s">
        <v>3440</v>
      </c>
      <c r="F899">
        <v>4943539272</v>
      </c>
    </row>
    <row r="900" spans="1:6" x14ac:dyDescent="0.3">
      <c r="A900">
        <v>899</v>
      </c>
      <c r="B900" t="s">
        <v>3441</v>
      </c>
      <c r="C900" t="s">
        <v>45</v>
      </c>
      <c r="D900" s="1" t="s">
        <v>3442</v>
      </c>
      <c r="E900" t="s">
        <v>3443</v>
      </c>
      <c r="F900" t="s">
        <v>3444</v>
      </c>
    </row>
    <row r="901" spans="1:6" x14ac:dyDescent="0.3">
      <c r="A901">
        <v>900</v>
      </c>
      <c r="B901" t="s">
        <v>3445</v>
      </c>
      <c r="C901" t="s">
        <v>45</v>
      </c>
      <c r="D901" s="1" t="s">
        <v>3446</v>
      </c>
      <c r="E901" t="s">
        <v>3447</v>
      </c>
      <c r="F901" t="s">
        <v>3448</v>
      </c>
    </row>
    <row r="902" spans="1:6" x14ac:dyDescent="0.3">
      <c r="A902">
        <v>901</v>
      </c>
      <c r="B902" t="s">
        <v>3449</v>
      </c>
      <c r="C902" t="s">
        <v>7</v>
      </c>
      <c r="D902" s="1" t="s">
        <v>3450</v>
      </c>
      <c r="E902" t="s">
        <v>3451</v>
      </c>
      <c r="F902">
        <v>6379149942</v>
      </c>
    </row>
    <row r="903" spans="1:6" x14ac:dyDescent="0.3">
      <c r="A903">
        <v>902</v>
      </c>
      <c r="B903" t="s">
        <v>3452</v>
      </c>
      <c r="C903" t="s">
        <v>7</v>
      </c>
      <c r="D903" s="1" t="s">
        <v>3453</v>
      </c>
      <c r="E903" t="s">
        <v>3454</v>
      </c>
      <c r="F903" t="s">
        <v>3455</v>
      </c>
    </row>
    <row r="904" spans="1:6" x14ac:dyDescent="0.3">
      <c r="A904">
        <v>903</v>
      </c>
      <c r="B904" t="s">
        <v>3456</v>
      </c>
      <c r="C904" t="s">
        <v>45</v>
      </c>
      <c r="D904" s="1" t="s">
        <v>3457</v>
      </c>
      <c r="E904" t="s">
        <v>3458</v>
      </c>
      <c r="F904" t="s">
        <v>3459</v>
      </c>
    </row>
    <row r="905" spans="1:6" x14ac:dyDescent="0.3">
      <c r="A905">
        <v>904</v>
      </c>
      <c r="B905" t="s">
        <v>3460</v>
      </c>
      <c r="C905" t="s">
        <v>11</v>
      </c>
      <c r="D905" s="1" t="s">
        <v>3461</v>
      </c>
      <c r="E905" t="s">
        <v>3462</v>
      </c>
      <c r="F905" t="s">
        <v>3463</v>
      </c>
    </row>
    <row r="906" spans="1:6" x14ac:dyDescent="0.3">
      <c r="A906">
        <v>905</v>
      </c>
      <c r="B906" t="s">
        <v>3464</v>
      </c>
      <c r="C906" t="s">
        <v>32</v>
      </c>
      <c r="D906" s="1" t="s">
        <v>3465</v>
      </c>
      <c r="E906" t="s">
        <v>3466</v>
      </c>
      <c r="F906" t="s">
        <v>3467</v>
      </c>
    </row>
    <row r="907" spans="1:6" x14ac:dyDescent="0.3">
      <c r="A907">
        <v>906</v>
      </c>
      <c r="B907" t="s">
        <v>3468</v>
      </c>
      <c r="C907" t="s">
        <v>7</v>
      </c>
      <c r="D907" s="1" t="s">
        <v>3469</v>
      </c>
      <c r="E907" t="s">
        <v>3470</v>
      </c>
      <c r="F907" t="s">
        <v>3471</v>
      </c>
    </row>
    <row r="908" spans="1:6" x14ac:dyDescent="0.3">
      <c r="A908">
        <v>907</v>
      </c>
      <c r="B908" t="s">
        <v>3472</v>
      </c>
      <c r="C908" t="s">
        <v>7</v>
      </c>
      <c r="D908" s="1" t="s">
        <v>3473</v>
      </c>
      <c r="E908" t="s">
        <v>3474</v>
      </c>
      <c r="F908" t="s">
        <v>3475</v>
      </c>
    </row>
    <row r="909" spans="1:6" x14ac:dyDescent="0.3">
      <c r="A909">
        <v>908</v>
      </c>
      <c r="B909" t="s">
        <v>3476</v>
      </c>
      <c r="C909" t="s">
        <v>7</v>
      </c>
      <c r="D909" s="1" t="s">
        <v>3477</v>
      </c>
      <c r="E909" t="s">
        <v>3478</v>
      </c>
      <c r="F909" t="s">
        <v>3479</v>
      </c>
    </row>
    <row r="910" spans="1:6" x14ac:dyDescent="0.3">
      <c r="A910">
        <v>909</v>
      </c>
      <c r="B910" t="s">
        <v>3480</v>
      </c>
      <c r="C910" t="s">
        <v>32</v>
      </c>
      <c r="D910" s="1" t="s">
        <v>3481</v>
      </c>
      <c r="E910" t="s">
        <v>3482</v>
      </c>
      <c r="F910" t="s">
        <v>3483</v>
      </c>
    </row>
    <row r="911" spans="1:6" x14ac:dyDescent="0.3">
      <c r="A911">
        <v>910</v>
      </c>
      <c r="B911" t="s">
        <v>3484</v>
      </c>
      <c r="C911" t="s">
        <v>32</v>
      </c>
      <c r="D911" s="1" t="s">
        <v>3485</v>
      </c>
      <c r="E911" t="s">
        <v>3486</v>
      </c>
      <c r="F911" t="s">
        <v>3487</v>
      </c>
    </row>
    <row r="912" spans="1:6" x14ac:dyDescent="0.3">
      <c r="A912">
        <v>911</v>
      </c>
      <c r="B912" t="s">
        <v>1531</v>
      </c>
      <c r="C912" t="s">
        <v>32</v>
      </c>
      <c r="D912" s="1" t="s">
        <v>3488</v>
      </c>
      <c r="E912" t="s">
        <v>3489</v>
      </c>
      <c r="F912" t="s">
        <v>3490</v>
      </c>
    </row>
    <row r="913" spans="1:6" x14ac:dyDescent="0.3">
      <c r="A913">
        <v>912</v>
      </c>
      <c r="B913" t="s">
        <v>3491</v>
      </c>
      <c r="C913" t="s">
        <v>45</v>
      </c>
      <c r="D913" s="1" t="s">
        <v>3492</v>
      </c>
      <c r="E913" t="s">
        <v>3493</v>
      </c>
      <c r="F913" t="s">
        <v>3494</v>
      </c>
    </row>
    <row r="914" spans="1:6" x14ac:dyDescent="0.3">
      <c r="A914">
        <v>913</v>
      </c>
      <c r="B914" t="s">
        <v>3495</v>
      </c>
      <c r="C914" t="s">
        <v>11</v>
      </c>
      <c r="D914" s="1" t="s">
        <v>3496</v>
      </c>
      <c r="E914" t="s">
        <v>3497</v>
      </c>
      <c r="F914" t="s">
        <v>3498</v>
      </c>
    </row>
    <row r="915" spans="1:6" x14ac:dyDescent="0.3">
      <c r="A915">
        <v>914</v>
      </c>
      <c r="B915" t="s">
        <v>3499</v>
      </c>
      <c r="C915" t="s">
        <v>45</v>
      </c>
      <c r="D915" s="1" t="s">
        <v>3500</v>
      </c>
      <c r="E915" t="s">
        <v>3501</v>
      </c>
      <c r="F915" t="s">
        <v>3502</v>
      </c>
    </row>
    <row r="916" spans="1:6" x14ac:dyDescent="0.3">
      <c r="A916">
        <v>915</v>
      </c>
      <c r="B916" t="s">
        <v>3503</v>
      </c>
      <c r="C916" t="s">
        <v>11</v>
      </c>
      <c r="D916" s="1" t="s">
        <v>3504</v>
      </c>
      <c r="E916" t="s">
        <v>3505</v>
      </c>
      <c r="F916" t="s">
        <v>3506</v>
      </c>
    </row>
    <row r="917" spans="1:6" x14ac:dyDescent="0.3">
      <c r="A917">
        <v>916</v>
      </c>
      <c r="B917" t="s">
        <v>3507</v>
      </c>
      <c r="C917" t="s">
        <v>45</v>
      </c>
      <c r="D917" s="1" t="s">
        <v>3508</v>
      </c>
      <c r="E917" t="s">
        <v>3509</v>
      </c>
      <c r="F917" t="s">
        <v>3510</v>
      </c>
    </row>
    <row r="918" spans="1:6" x14ac:dyDescent="0.3">
      <c r="A918">
        <v>917</v>
      </c>
      <c r="B918" t="s">
        <v>3511</v>
      </c>
      <c r="C918" t="s">
        <v>7</v>
      </c>
      <c r="D918" s="1" t="s">
        <v>3512</v>
      </c>
      <c r="E918" t="s">
        <v>607</v>
      </c>
      <c r="F918" t="s">
        <v>3513</v>
      </c>
    </row>
    <row r="919" spans="1:6" x14ac:dyDescent="0.3">
      <c r="A919">
        <v>918</v>
      </c>
      <c r="B919" t="s">
        <v>3514</v>
      </c>
      <c r="C919" t="s">
        <v>11</v>
      </c>
      <c r="D919" s="1" t="s">
        <v>3515</v>
      </c>
      <c r="E919" t="s">
        <v>3516</v>
      </c>
      <c r="F919" t="s">
        <v>3517</v>
      </c>
    </row>
    <row r="920" spans="1:6" x14ac:dyDescent="0.3">
      <c r="A920">
        <v>919</v>
      </c>
      <c r="B920" t="s">
        <v>3518</v>
      </c>
      <c r="C920" t="s">
        <v>7</v>
      </c>
      <c r="D920" s="1" t="s">
        <v>3519</v>
      </c>
      <c r="E920" t="s">
        <v>3520</v>
      </c>
      <c r="F920" t="s">
        <v>3521</v>
      </c>
    </row>
    <row r="921" spans="1:6" x14ac:dyDescent="0.3">
      <c r="A921">
        <v>920</v>
      </c>
      <c r="B921" t="s">
        <v>3522</v>
      </c>
      <c r="C921" t="s">
        <v>32</v>
      </c>
      <c r="D921" s="1" t="s">
        <v>3523</v>
      </c>
      <c r="E921" t="s">
        <v>3524</v>
      </c>
      <c r="F921">
        <v>2329447078</v>
      </c>
    </row>
    <row r="922" spans="1:6" x14ac:dyDescent="0.3">
      <c r="A922">
        <v>921</v>
      </c>
      <c r="B922" t="s">
        <v>3525</v>
      </c>
      <c r="C922" t="s">
        <v>11</v>
      </c>
      <c r="D922" s="1" t="s">
        <v>3526</v>
      </c>
      <c r="E922" t="s">
        <v>3527</v>
      </c>
      <c r="F922" t="s">
        <v>3528</v>
      </c>
    </row>
    <row r="923" spans="1:6" x14ac:dyDescent="0.3">
      <c r="A923">
        <v>922</v>
      </c>
      <c r="B923" t="s">
        <v>3529</v>
      </c>
      <c r="C923" t="s">
        <v>32</v>
      </c>
      <c r="D923" s="1" t="s">
        <v>3530</v>
      </c>
      <c r="E923" t="s">
        <v>3367</v>
      </c>
      <c r="F923">
        <v>3387210560</v>
      </c>
    </row>
    <row r="924" spans="1:6" x14ac:dyDescent="0.3">
      <c r="A924">
        <v>923</v>
      </c>
      <c r="B924" t="s">
        <v>3531</v>
      </c>
      <c r="C924" t="s">
        <v>7</v>
      </c>
      <c r="D924" s="1" t="s">
        <v>3532</v>
      </c>
      <c r="E924" t="s">
        <v>3533</v>
      </c>
      <c r="F924">
        <v>1383312143</v>
      </c>
    </row>
    <row r="925" spans="1:6" x14ac:dyDescent="0.3">
      <c r="A925">
        <v>924</v>
      </c>
      <c r="B925" t="s">
        <v>3534</v>
      </c>
      <c r="C925" t="s">
        <v>7</v>
      </c>
      <c r="D925" s="1" t="s">
        <v>3535</v>
      </c>
      <c r="E925" t="s">
        <v>3536</v>
      </c>
      <c r="F925" t="s">
        <v>3537</v>
      </c>
    </row>
    <row r="926" spans="1:6" x14ac:dyDescent="0.3">
      <c r="A926">
        <v>925</v>
      </c>
      <c r="B926" t="s">
        <v>3538</v>
      </c>
      <c r="C926" t="s">
        <v>32</v>
      </c>
      <c r="D926" s="1" t="s">
        <v>3539</v>
      </c>
      <c r="E926" t="s">
        <v>3540</v>
      </c>
      <c r="F926" t="s">
        <v>3541</v>
      </c>
    </row>
    <row r="927" spans="1:6" x14ac:dyDescent="0.3">
      <c r="A927">
        <v>926</v>
      </c>
      <c r="B927" t="s">
        <v>3542</v>
      </c>
      <c r="C927" t="s">
        <v>11</v>
      </c>
      <c r="D927" s="1" t="s">
        <v>3543</v>
      </c>
      <c r="E927" t="s">
        <v>3544</v>
      </c>
      <c r="F927">
        <f>1-701-674-2402</f>
        <v>-3776</v>
      </c>
    </row>
    <row r="928" spans="1:6" x14ac:dyDescent="0.3">
      <c r="A928">
        <v>927</v>
      </c>
      <c r="B928" t="s">
        <v>3545</v>
      </c>
      <c r="C928" t="s">
        <v>45</v>
      </c>
      <c r="D928" s="1" t="s">
        <v>3546</v>
      </c>
      <c r="E928" t="s">
        <v>3547</v>
      </c>
      <c r="F928" t="s">
        <v>3548</v>
      </c>
    </row>
    <row r="929" spans="1:6" x14ac:dyDescent="0.3">
      <c r="A929">
        <v>928</v>
      </c>
      <c r="B929" t="s">
        <v>3549</v>
      </c>
      <c r="C929" t="s">
        <v>45</v>
      </c>
      <c r="D929" s="1" t="s">
        <v>3550</v>
      </c>
      <c r="E929" t="s">
        <v>3551</v>
      </c>
      <c r="F929" t="s">
        <v>3552</v>
      </c>
    </row>
    <row r="930" spans="1:6" x14ac:dyDescent="0.3">
      <c r="A930">
        <v>929</v>
      </c>
      <c r="B930" t="s">
        <v>3553</v>
      </c>
      <c r="C930" t="s">
        <v>45</v>
      </c>
      <c r="D930" s="1" t="s">
        <v>3554</v>
      </c>
      <c r="E930" t="s">
        <v>3555</v>
      </c>
      <c r="F930" t="s">
        <v>3556</v>
      </c>
    </row>
    <row r="931" spans="1:6" x14ac:dyDescent="0.3">
      <c r="A931">
        <v>930</v>
      </c>
      <c r="B931" t="s">
        <v>3557</v>
      </c>
      <c r="C931" t="s">
        <v>32</v>
      </c>
      <c r="D931" s="1" t="s">
        <v>3558</v>
      </c>
      <c r="E931" t="s">
        <v>3559</v>
      </c>
      <c r="F931">
        <v>9421508200</v>
      </c>
    </row>
    <row r="932" spans="1:6" x14ac:dyDescent="0.3">
      <c r="A932">
        <v>931</v>
      </c>
      <c r="B932" t="s">
        <v>3560</v>
      </c>
      <c r="C932" t="s">
        <v>7</v>
      </c>
      <c r="D932" s="1" t="s">
        <v>3561</v>
      </c>
      <c r="E932" t="s">
        <v>3562</v>
      </c>
      <c r="F932" t="s">
        <v>3563</v>
      </c>
    </row>
    <row r="933" spans="1:6" x14ac:dyDescent="0.3">
      <c r="A933">
        <v>932</v>
      </c>
      <c r="B933" t="s">
        <v>3564</v>
      </c>
      <c r="C933" t="s">
        <v>7</v>
      </c>
      <c r="D933" s="1" t="s">
        <v>3565</v>
      </c>
      <c r="E933" t="s">
        <v>3566</v>
      </c>
      <c r="F933" t="s">
        <v>3567</v>
      </c>
    </row>
    <row r="934" spans="1:6" x14ac:dyDescent="0.3">
      <c r="A934">
        <v>933</v>
      </c>
      <c r="B934" t="s">
        <v>3568</v>
      </c>
      <c r="C934" t="s">
        <v>45</v>
      </c>
      <c r="D934" s="1" t="s">
        <v>3569</v>
      </c>
      <c r="E934" t="s">
        <v>3570</v>
      </c>
      <c r="F934" t="s">
        <v>3571</v>
      </c>
    </row>
    <row r="935" spans="1:6" x14ac:dyDescent="0.3">
      <c r="A935">
        <v>934</v>
      </c>
      <c r="B935" t="s">
        <v>2417</v>
      </c>
      <c r="C935" t="s">
        <v>11</v>
      </c>
      <c r="D935" s="1" t="s">
        <v>3572</v>
      </c>
      <c r="E935" t="s">
        <v>3573</v>
      </c>
      <c r="F935" t="s">
        <v>3574</v>
      </c>
    </row>
    <row r="936" spans="1:6" x14ac:dyDescent="0.3">
      <c r="A936">
        <v>935</v>
      </c>
      <c r="B936" t="s">
        <v>3575</v>
      </c>
      <c r="C936" t="s">
        <v>11</v>
      </c>
      <c r="D936" s="1" t="s">
        <v>3576</v>
      </c>
      <c r="E936" t="s">
        <v>3577</v>
      </c>
      <c r="F936" t="s">
        <v>3578</v>
      </c>
    </row>
    <row r="937" spans="1:6" x14ac:dyDescent="0.3">
      <c r="A937">
        <v>936</v>
      </c>
      <c r="B937" t="s">
        <v>3579</v>
      </c>
      <c r="C937" t="s">
        <v>7</v>
      </c>
      <c r="D937" s="1" t="s">
        <v>3580</v>
      </c>
      <c r="E937" t="s">
        <v>3581</v>
      </c>
      <c r="F937" t="s">
        <v>3582</v>
      </c>
    </row>
    <row r="938" spans="1:6" x14ac:dyDescent="0.3">
      <c r="A938">
        <v>937</v>
      </c>
      <c r="B938" t="s">
        <v>3583</v>
      </c>
      <c r="C938" t="s">
        <v>32</v>
      </c>
      <c r="D938" s="1" t="s">
        <v>3584</v>
      </c>
      <c r="E938" t="s">
        <v>3585</v>
      </c>
      <c r="F938" t="s">
        <v>3586</v>
      </c>
    </row>
    <row r="939" spans="1:6" x14ac:dyDescent="0.3">
      <c r="A939">
        <v>938</v>
      </c>
      <c r="B939" t="s">
        <v>3587</v>
      </c>
      <c r="C939" t="s">
        <v>32</v>
      </c>
      <c r="D939" s="1" t="s">
        <v>3588</v>
      </c>
      <c r="E939" t="s">
        <v>3589</v>
      </c>
      <c r="F939" t="s">
        <v>3590</v>
      </c>
    </row>
    <row r="940" spans="1:6" x14ac:dyDescent="0.3">
      <c r="A940">
        <v>939</v>
      </c>
      <c r="B940" t="s">
        <v>3591</v>
      </c>
      <c r="C940" t="s">
        <v>45</v>
      </c>
      <c r="D940" s="1" t="s">
        <v>3592</v>
      </c>
      <c r="E940" t="s">
        <v>3593</v>
      </c>
      <c r="F940">
        <v>9608634637</v>
      </c>
    </row>
    <row r="941" spans="1:6" x14ac:dyDescent="0.3">
      <c r="A941">
        <v>940</v>
      </c>
      <c r="B941" t="s">
        <v>3594</v>
      </c>
      <c r="C941" t="s">
        <v>11</v>
      </c>
      <c r="D941" s="1" t="s">
        <v>3595</v>
      </c>
      <c r="E941" t="s">
        <v>3596</v>
      </c>
      <c r="F941" t="s">
        <v>3597</v>
      </c>
    </row>
    <row r="942" spans="1:6" x14ac:dyDescent="0.3">
      <c r="A942">
        <v>941</v>
      </c>
      <c r="B942" t="s">
        <v>3598</v>
      </c>
      <c r="C942" t="s">
        <v>45</v>
      </c>
      <c r="D942" s="1" t="s">
        <v>3599</v>
      </c>
      <c r="E942" t="s">
        <v>3600</v>
      </c>
      <c r="F942" t="s">
        <v>3601</v>
      </c>
    </row>
    <row r="943" spans="1:6" x14ac:dyDescent="0.3">
      <c r="A943">
        <v>942</v>
      </c>
      <c r="B943" t="s">
        <v>3602</v>
      </c>
      <c r="C943" t="s">
        <v>11</v>
      </c>
      <c r="D943" s="1" t="s">
        <v>3603</v>
      </c>
      <c r="E943" t="s">
        <v>3604</v>
      </c>
      <c r="F943" t="s">
        <v>3605</v>
      </c>
    </row>
    <row r="944" spans="1:6" x14ac:dyDescent="0.3">
      <c r="A944">
        <v>943</v>
      </c>
      <c r="B944" t="s">
        <v>3606</v>
      </c>
      <c r="C944" t="s">
        <v>7</v>
      </c>
      <c r="D944" s="1" t="s">
        <v>3607</v>
      </c>
      <c r="E944" t="s">
        <v>3608</v>
      </c>
      <c r="F944" t="s">
        <v>3609</v>
      </c>
    </row>
    <row r="945" spans="1:6" x14ac:dyDescent="0.3">
      <c r="A945">
        <v>944</v>
      </c>
      <c r="B945" t="s">
        <v>3610</v>
      </c>
      <c r="C945" t="s">
        <v>7</v>
      </c>
      <c r="D945" s="1" t="s">
        <v>3611</v>
      </c>
      <c r="E945" t="s">
        <v>3612</v>
      </c>
      <c r="F945" t="s">
        <v>3613</v>
      </c>
    </row>
    <row r="946" spans="1:6" x14ac:dyDescent="0.3">
      <c r="A946">
        <v>945</v>
      </c>
      <c r="B946" t="s">
        <v>3614</v>
      </c>
      <c r="C946" t="s">
        <v>11</v>
      </c>
      <c r="D946" s="1" t="s">
        <v>3615</v>
      </c>
      <c r="E946" t="s">
        <v>3616</v>
      </c>
      <c r="F946" t="s">
        <v>3617</v>
      </c>
    </row>
    <row r="947" spans="1:6" x14ac:dyDescent="0.3">
      <c r="A947">
        <v>946</v>
      </c>
      <c r="B947" t="s">
        <v>3618</v>
      </c>
      <c r="C947" t="s">
        <v>45</v>
      </c>
      <c r="D947" s="1" t="s">
        <v>3619</v>
      </c>
      <c r="E947" t="s">
        <v>3620</v>
      </c>
      <c r="F947" t="s">
        <v>3621</v>
      </c>
    </row>
    <row r="948" spans="1:6" x14ac:dyDescent="0.3">
      <c r="A948">
        <v>947</v>
      </c>
      <c r="B948" t="s">
        <v>3622</v>
      </c>
      <c r="C948" t="s">
        <v>45</v>
      </c>
      <c r="D948" s="1" t="s">
        <v>3623</v>
      </c>
      <c r="E948" t="s">
        <v>1843</v>
      </c>
      <c r="F948" t="s">
        <v>3624</v>
      </c>
    </row>
    <row r="949" spans="1:6" x14ac:dyDescent="0.3">
      <c r="A949">
        <v>948</v>
      </c>
      <c r="B949" t="s">
        <v>3625</v>
      </c>
      <c r="C949" t="s">
        <v>7</v>
      </c>
      <c r="D949" s="1" t="s">
        <v>3626</v>
      </c>
      <c r="E949" t="s">
        <v>3627</v>
      </c>
      <c r="F949" t="s">
        <v>3628</v>
      </c>
    </row>
    <row r="950" spans="1:6" x14ac:dyDescent="0.3">
      <c r="A950">
        <v>949</v>
      </c>
      <c r="B950" t="s">
        <v>3629</v>
      </c>
      <c r="C950" t="s">
        <v>7</v>
      </c>
      <c r="D950" s="1" t="s">
        <v>3630</v>
      </c>
      <c r="E950" t="s">
        <v>3631</v>
      </c>
      <c r="F950" t="s">
        <v>3632</v>
      </c>
    </row>
    <row r="951" spans="1:6" x14ac:dyDescent="0.3">
      <c r="A951">
        <v>950</v>
      </c>
      <c r="B951" t="s">
        <v>3633</v>
      </c>
      <c r="C951" t="s">
        <v>7</v>
      </c>
      <c r="D951" s="1" t="s">
        <v>3634</v>
      </c>
      <c r="E951" t="s">
        <v>3635</v>
      </c>
      <c r="F951" t="s">
        <v>3636</v>
      </c>
    </row>
    <row r="952" spans="1:6" x14ac:dyDescent="0.3">
      <c r="A952">
        <v>951</v>
      </c>
      <c r="B952" t="s">
        <v>3637</v>
      </c>
      <c r="C952" t="s">
        <v>11</v>
      </c>
      <c r="D952" s="1" t="s">
        <v>3638</v>
      </c>
      <c r="E952" t="s">
        <v>3639</v>
      </c>
      <c r="F952">
        <v>2321569552</v>
      </c>
    </row>
    <row r="953" spans="1:6" x14ac:dyDescent="0.3">
      <c r="A953">
        <v>952</v>
      </c>
      <c r="B953" t="s">
        <v>3640</v>
      </c>
      <c r="C953" t="s">
        <v>11</v>
      </c>
      <c r="D953" s="1" t="s">
        <v>3641</v>
      </c>
      <c r="E953" t="s">
        <v>3642</v>
      </c>
      <c r="F953">
        <f>1-648-160-9304</f>
        <v>-10111</v>
      </c>
    </row>
    <row r="954" spans="1:6" x14ac:dyDescent="0.3">
      <c r="A954">
        <v>953</v>
      </c>
      <c r="B954" t="s">
        <v>3643</v>
      </c>
      <c r="C954" t="s">
        <v>7</v>
      </c>
      <c r="D954" s="1" t="s">
        <v>3644</v>
      </c>
      <c r="E954" t="s">
        <v>3645</v>
      </c>
      <c r="F954" t="s">
        <v>3646</v>
      </c>
    </row>
    <row r="955" spans="1:6" x14ac:dyDescent="0.3">
      <c r="A955">
        <v>954</v>
      </c>
      <c r="B955" t="s">
        <v>3647</v>
      </c>
      <c r="C955" t="s">
        <v>45</v>
      </c>
      <c r="D955" s="1" t="s">
        <v>3648</v>
      </c>
      <c r="E955" t="s">
        <v>3649</v>
      </c>
      <c r="F955">
        <v>8412901538</v>
      </c>
    </row>
    <row r="956" spans="1:6" x14ac:dyDescent="0.3">
      <c r="A956">
        <v>955</v>
      </c>
      <c r="B956" t="s">
        <v>277</v>
      </c>
      <c r="C956" t="s">
        <v>45</v>
      </c>
      <c r="D956" s="1" t="s">
        <v>3650</v>
      </c>
      <c r="E956" t="s">
        <v>3651</v>
      </c>
      <c r="F956" t="s">
        <v>3652</v>
      </c>
    </row>
    <row r="957" spans="1:6" x14ac:dyDescent="0.3">
      <c r="A957">
        <v>956</v>
      </c>
      <c r="B957" t="s">
        <v>3653</v>
      </c>
      <c r="C957" t="s">
        <v>7</v>
      </c>
      <c r="D957" s="1" t="s">
        <v>3654</v>
      </c>
      <c r="E957" t="s">
        <v>3655</v>
      </c>
      <c r="F957" t="s">
        <v>3656</v>
      </c>
    </row>
    <row r="958" spans="1:6" x14ac:dyDescent="0.3">
      <c r="A958">
        <v>957</v>
      </c>
      <c r="B958" t="s">
        <v>3657</v>
      </c>
      <c r="C958" t="s">
        <v>11</v>
      </c>
      <c r="D958" s="1" t="s">
        <v>3658</v>
      </c>
      <c r="E958" t="s">
        <v>3659</v>
      </c>
      <c r="F958" t="s">
        <v>3660</v>
      </c>
    </row>
    <row r="959" spans="1:6" x14ac:dyDescent="0.3">
      <c r="A959">
        <v>958</v>
      </c>
      <c r="B959" t="s">
        <v>3661</v>
      </c>
      <c r="C959" t="s">
        <v>32</v>
      </c>
      <c r="D959" s="1" t="s">
        <v>3662</v>
      </c>
      <c r="E959" t="s">
        <v>3663</v>
      </c>
      <c r="F959" t="s">
        <v>3664</v>
      </c>
    </row>
    <row r="960" spans="1:6" x14ac:dyDescent="0.3">
      <c r="A960">
        <v>959</v>
      </c>
      <c r="B960" t="s">
        <v>3665</v>
      </c>
      <c r="C960" t="s">
        <v>11</v>
      </c>
      <c r="D960" s="1" t="s">
        <v>3666</v>
      </c>
      <c r="E960" t="s">
        <v>3667</v>
      </c>
      <c r="F960" t="s">
        <v>3668</v>
      </c>
    </row>
    <row r="961" spans="1:6" x14ac:dyDescent="0.3">
      <c r="A961">
        <v>960</v>
      </c>
      <c r="B961" t="s">
        <v>3669</v>
      </c>
      <c r="C961" t="s">
        <v>7</v>
      </c>
      <c r="D961" s="1" t="s">
        <v>3670</v>
      </c>
      <c r="E961" t="s">
        <v>3671</v>
      </c>
      <c r="F961" t="s">
        <v>3672</v>
      </c>
    </row>
    <row r="962" spans="1:6" x14ac:dyDescent="0.3">
      <c r="A962">
        <v>961</v>
      </c>
      <c r="B962" t="s">
        <v>3673</v>
      </c>
      <c r="C962" t="s">
        <v>32</v>
      </c>
      <c r="D962" s="1" t="s">
        <v>3674</v>
      </c>
      <c r="E962" t="s">
        <v>153</v>
      </c>
      <c r="F962" t="s">
        <v>3675</v>
      </c>
    </row>
    <row r="963" spans="1:6" x14ac:dyDescent="0.3">
      <c r="A963">
        <v>962</v>
      </c>
      <c r="B963" t="s">
        <v>3676</v>
      </c>
      <c r="C963" t="s">
        <v>45</v>
      </c>
      <c r="D963" s="1" t="s">
        <v>3677</v>
      </c>
      <c r="E963" t="s">
        <v>3678</v>
      </c>
      <c r="F963" t="s">
        <v>3679</v>
      </c>
    </row>
    <row r="964" spans="1:6" x14ac:dyDescent="0.3">
      <c r="A964">
        <v>963</v>
      </c>
      <c r="B964" t="s">
        <v>3680</v>
      </c>
      <c r="C964" t="s">
        <v>7</v>
      </c>
      <c r="D964" s="1" t="s">
        <v>3681</v>
      </c>
      <c r="E964" t="s">
        <v>3682</v>
      </c>
      <c r="F964" t="s">
        <v>3683</v>
      </c>
    </row>
    <row r="965" spans="1:6" x14ac:dyDescent="0.3">
      <c r="A965">
        <v>964</v>
      </c>
      <c r="B965" t="s">
        <v>3684</v>
      </c>
      <c r="C965" t="s">
        <v>45</v>
      </c>
      <c r="D965" s="1" t="s">
        <v>3685</v>
      </c>
      <c r="E965" t="s">
        <v>3686</v>
      </c>
      <c r="F965" t="s">
        <v>3687</v>
      </c>
    </row>
    <row r="966" spans="1:6" x14ac:dyDescent="0.3">
      <c r="A966">
        <v>965</v>
      </c>
      <c r="B966" t="s">
        <v>3688</v>
      </c>
      <c r="C966" t="s">
        <v>32</v>
      </c>
      <c r="D966" s="1" t="s">
        <v>3689</v>
      </c>
      <c r="E966" t="s">
        <v>3690</v>
      </c>
      <c r="F966" t="s">
        <v>3691</v>
      </c>
    </row>
    <row r="967" spans="1:6" x14ac:dyDescent="0.3">
      <c r="A967">
        <v>966</v>
      </c>
      <c r="B967" t="s">
        <v>3692</v>
      </c>
      <c r="C967" t="s">
        <v>32</v>
      </c>
      <c r="D967" s="1" t="s">
        <v>3693</v>
      </c>
      <c r="E967" t="s">
        <v>3694</v>
      </c>
      <c r="F967" t="s">
        <v>3695</v>
      </c>
    </row>
    <row r="968" spans="1:6" x14ac:dyDescent="0.3">
      <c r="A968">
        <v>967</v>
      </c>
      <c r="B968" t="s">
        <v>2275</v>
      </c>
      <c r="C968" t="s">
        <v>11</v>
      </c>
      <c r="D968" s="1" t="s">
        <v>3696</v>
      </c>
      <c r="E968" t="s">
        <v>3697</v>
      </c>
      <c r="F968" t="s">
        <v>3698</v>
      </c>
    </row>
    <row r="969" spans="1:6" x14ac:dyDescent="0.3">
      <c r="A969">
        <v>968</v>
      </c>
      <c r="B969" t="s">
        <v>3699</v>
      </c>
      <c r="C969" t="s">
        <v>32</v>
      </c>
      <c r="D969" s="1" t="s">
        <v>3700</v>
      </c>
      <c r="E969" t="s">
        <v>3701</v>
      </c>
      <c r="F969" t="s">
        <v>3702</v>
      </c>
    </row>
    <row r="970" spans="1:6" x14ac:dyDescent="0.3">
      <c r="A970">
        <v>969</v>
      </c>
      <c r="B970" t="s">
        <v>3703</v>
      </c>
      <c r="C970" t="s">
        <v>45</v>
      </c>
      <c r="D970" s="1" t="s">
        <v>3704</v>
      </c>
      <c r="E970" t="s">
        <v>3705</v>
      </c>
      <c r="F970" t="s">
        <v>3706</v>
      </c>
    </row>
    <row r="971" spans="1:6" x14ac:dyDescent="0.3">
      <c r="A971">
        <v>970</v>
      </c>
      <c r="B971" t="s">
        <v>3707</v>
      </c>
      <c r="C971" t="s">
        <v>45</v>
      </c>
      <c r="D971" s="1" t="s">
        <v>3708</v>
      </c>
      <c r="E971" t="s">
        <v>3709</v>
      </c>
      <c r="F971">
        <v>6685913720</v>
      </c>
    </row>
    <row r="972" spans="1:6" x14ac:dyDescent="0.3">
      <c r="A972">
        <v>971</v>
      </c>
      <c r="B972" t="s">
        <v>3710</v>
      </c>
      <c r="C972" t="s">
        <v>32</v>
      </c>
      <c r="D972" s="1" t="s">
        <v>3711</v>
      </c>
      <c r="E972" t="s">
        <v>3712</v>
      </c>
      <c r="F972" t="s">
        <v>3713</v>
      </c>
    </row>
    <row r="973" spans="1:6" x14ac:dyDescent="0.3">
      <c r="A973">
        <v>972</v>
      </c>
      <c r="B973" t="s">
        <v>3714</v>
      </c>
      <c r="C973" t="s">
        <v>7</v>
      </c>
      <c r="D973" s="1" t="s">
        <v>3715</v>
      </c>
      <c r="E973" t="s">
        <v>3716</v>
      </c>
      <c r="F973" t="s">
        <v>3717</v>
      </c>
    </row>
    <row r="974" spans="1:6" x14ac:dyDescent="0.3">
      <c r="A974">
        <v>973</v>
      </c>
      <c r="B974" t="s">
        <v>3718</v>
      </c>
      <c r="C974" t="s">
        <v>7</v>
      </c>
      <c r="D974" s="1" t="s">
        <v>3719</v>
      </c>
      <c r="E974" t="s">
        <v>2213</v>
      </c>
      <c r="F974">
        <v>8591148922</v>
      </c>
    </row>
    <row r="975" spans="1:6" x14ac:dyDescent="0.3">
      <c r="A975">
        <v>974</v>
      </c>
      <c r="B975" t="s">
        <v>411</v>
      </c>
      <c r="C975" t="s">
        <v>11</v>
      </c>
      <c r="D975" s="1" t="s">
        <v>3720</v>
      </c>
      <c r="E975" t="s">
        <v>3721</v>
      </c>
      <c r="F975" t="s">
        <v>3722</v>
      </c>
    </row>
    <row r="976" spans="1:6" x14ac:dyDescent="0.3">
      <c r="A976">
        <v>975</v>
      </c>
      <c r="B976" t="s">
        <v>3723</v>
      </c>
      <c r="C976" t="s">
        <v>45</v>
      </c>
      <c r="D976" s="1" t="s">
        <v>3724</v>
      </c>
      <c r="E976" t="s">
        <v>3725</v>
      </c>
      <c r="F976" t="s">
        <v>3726</v>
      </c>
    </row>
    <row r="977" spans="1:6" x14ac:dyDescent="0.3">
      <c r="A977">
        <v>976</v>
      </c>
      <c r="B977" t="s">
        <v>3727</v>
      </c>
      <c r="C977" t="s">
        <v>32</v>
      </c>
      <c r="D977" s="1" t="s">
        <v>3728</v>
      </c>
      <c r="E977" t="s">
        <v>3729</v>
      </c>
      <c r="F977" t="s">
        <v>3730</v>
      </c>
    </row>
    <row r="978" spans="1:6" x14ac:dyDescent="0.3">
      <c r="A978">
        <v>977</v>
      </c>
      <c r="B978" t="s">
        <v>3731</v>
      </c>
      <c r="C978" t="s">
        <v>32</v>
      </c>
      <c r="D978" s="1" t="s">
        <v>3732</v>
      </c>
      <c r="E978" t="s">
        <v>3733</v>
      </c>
      <c r="F978" t="s">
        <v>3734</v>
      </c>
    </row>
    <row r="979" spans="1:6" x14ac:dyDescent="0.3">
      <c r="A979">
        <v>978</v>
      </c>
      <c r="B979" t="s">
        <v>3735</v>
      </c>
      <c r="C979" t="s">
        <v>45</v>
      </c>
      <c r="D979" s="1" t="s">
        <v>3736</v>
      </c>
      <c r="E979" t="s">
        <v>3737</v>
      </c>
      <c r="F979">
        <v>7046259654</v>
      </c>
    </row>
    <row r="980" spans="1:6" x14ac:dyDescent="0.3">
      <c r="A980">
        <v>979</v>
      </c>
      <c r="B980" t="s">
        <v>3738</v>
      </c>
      <c r="C980" t="s">
        <v>32</v>
      </c>
      <c r="D980" s="1" t="s">
        <v>3739</v>
      </c>
      <c r="E980" t="s">
        <v>3740</v>
      </c>
      <c r="F980" t="s">
        <v>3741</v>
      </c>
    </row>
    <row r="981" spans="1:6" x14ac:dyDescent="0.3">
      <c r="A981">
        <v>980</v>
      </c>
      <c r="B981" t="s">
        <v>3742</v>
      </c>
      <c r="C981" t="s">
        <v>32</v>
      </c>
      <c r="D981" s="1" t="s">
        <v>3743</v>
      </c>
      <c r="E981" t="s">
        <v>3716</v>
      </c>
      <c r="F981" t="s">
        <v>3744</v>
      </c>
    </row>
    <row r="982" spans="1:6" x14ac:dyDescent="0.3">
      <c r="A982">
        <v>981</v>
      </c>
      <c r="B982" t="s">
        <v>3745</v>
      </c>
      <c r="C982" t="s">
        <v>32</v>
      </c>
      <c r="D982" s="1" t="s">
        <v>3746</v>
      </c>
      <c r="E982" t="s">
        <v>3747</v>
      </c>
      <c r="F982" t="s">
        <v>3748</v>
      </c>
    </row>
    <row r="983" spans="1:6" x14ac:dyDescent="0.3">
      <c r="A983">
        <v>982</v>
      </c>
      <c r="B983" t="s">
        <v>3749</v>
      </c>
      <c r="C983" t="s">
        <v>11</v>
      </c>
      <c r="D983" s="1" t="s">
        <v>3750</v>
      </c>
      <c r="E983" t="s">
        <v>3751</v>
      </c>
      <c r="F983" t="s">
        <v>3752</v>
      </c>
    </row>
    <row r="984" spans="1:6" x14ac:dyDescent="0.3">
      <c r="A984">
        <v>983</v>
      </c>
      <c r="B984" t="s">
        <v>3753</v>
      </c>
      <c r="C984" t="s">
        <v>11</v>
      </c>
      <c r="D984" s="1" t="s">
        <v>3754</v>
      </c>
      <c r="E984" t="s">
        <v>3755</v>
      </c>
      <c r="F984" t="s">
        <v>3756</v>
      </c>
    </row>
    <row r="985" spans="1:6" x14ac:dyDescent="0.3">
      <c r="A985">
        <v>984</v>
      </c>
      <c r="B985" t="s">
        <v>3757</v>
      </c>
      <c r="C985" t="s">
        <v>45</v>
      </c>
      <c r="D985" s="1" t="s">
        <v>3758</v>
      </c>
      <c r="E985" t="s">
        <v>3759</v>
      </c>
      <c r="F985" t="s">
        <v>3760</v>
      </c>
    </row>
    <row r="986" spans="1:6" x14ac:dyDescent="0.3">
      <c r="A986">
        <v>985</v>
      </c>
      <c r="B986" t="s">
        <v>3761</v>
      </c>
      <c r="C986" t="s">
        <v>32</v>
      </c>
      <c r="D986" s="1" t="s">
        <v>3762</v>
      </c>
      <c r="E986" t="s">
        <v>3763</v>
      </c>
      <c r="F986" t="s">
        <v>3764</v>
      </c>
    </row>
    <row r="987" spans="1:6" x14ac:dyDescent="0.3">
      <c r="A987">
        <v>986</v>
      </c>
      <c r="B987" t="s">
        <v>3765</v>
      </c>
      <c r="C987" t="s">
        <v>7</v>
      </c>
      <c r="D987" s="1" t="s">
        <v>3766</v>
      </c>
      <c r="E987" t="s">
        <v>3767</v>
      </c>
      <c r="F987" t="s">
        <v>3768</v>
      </c>
    </row>
    <row r="988" spans="1:6" x14ac:dyDescent="0.3">
      <c r="A988">
        <v>987</v>
      </c>
      <c r="B988" t="s">
        <v>3769</v>
      </c>
      <c r="C988" t="s">
        <v>7</v>
      </c>
      <c r="D988" s="1" t="s">
        <v>3770</v>
      </c>
      <c r="E988" t="s">
        <v>3771</v>
      </c>
      <c r="F988" t="s">
        <v>3772</v>
      </c>
    </row>
    <row r="989" spans="1:6" x14ac:dyDescent="0.3">
      <c r="A989">
        <v>988</v>
      </c>
      <c r="B989" t="s">
        <v>3773</v>
      </c>
      <c r="C989" t="s">
        <v>11</v>
      </c>
      <c r="D989" s="1" t="s">
        <v>3774</v>
      </c>
      <c r="E989" t="s">
        <v>3775</v>
      </c>
      <c r="F989" t="s">
        <v>3776</v>
      </c>
    </row>
    <row r="990" spans="1:6" x14ac:dyDescent="0.3">
      <c r="A990">
        <v>989</v>
      </c>
      <c r="B990" t="s">
        <v>3777</v>
      </c>
      <c r="C990" t="s">
        <v>11</v>
      </c>
      <c r="D990" s="1" t="s">
        <v>3778</v>
      </c>
      <c r="E990" t="s">
        <v>3779</v>
      </c>
      <c r="F990" t="s">
        <v>3780</v>
      </c>
    </row>
    <row r="991" spans="1:6" x14ac:dyDescent="0.3">
      <c r="A991">
        <v>990</v>
      </c>
      <c r="B991" t="s">
        <v>3781</v>
      </c>
      <c r="C991" t="s">
        <v>45</v>
      </c>
      <c r="D991" s="1" t="s">
        <v>3782</v>
      </c>
      <c r="E991" t="s">
        <v>3783</v>
      </c>
      <c r="F991" t="s">
        <v>3784</v>
      </c>
    </row>
    <row r="992" spans="1:6" x14ac:dyDescent="0.3">
      <c r="A992">
        <v>991</v>
      </c>
      <c r="B992" t="s">
        <v>3785</v>
      </c>
      <c r="C992" t="s">
        <v>7</v>
      </c>
      <c r="D992" s="1" t="s">
        <v>3786</v>
      </c>
      <c r="E992" t="s">
        <v>3787</v>
      </c>
      <c r="F992" t="s">
        <v>3788</v>
      </c>
    </row>
    <row r="993" spans="1:6" x14ac:dyDescent="0.3">
      <c r="A993">
        <v>992</v>
      </c>
      <c r="B993" t="s">
        <v>3789</v>
      </c>
      <c r="C993" t="s">
        <v>11</v>
      </c>
      <c r="D993" s="1" t="s">
        <v>3790</v>
      </c>
      <c r="E993" t="s">
        <v>3791</v>
      </c>
      <c r="F993" t="s">
        <v>3792</v>
      </c>
    </row>
    <row r="994" spans="1:6" x14ac:dyDescent="0.3">
      <c r="A994">
        <v>993</v>
      </c>
      <c r="B994" t="s">
        <v>3793</v>
      </c>
      <c r="C994" t="s">
        <v>32</v>
      </c>
      <c r="D994" s="1" t="s">
        <v>3794</v>
      </c>
      <c r="E994" t="s">
        <v>856</v>
      </c>
      <c r="F994" t="s">
        <v>3795</v>
      </c>
    </row>
    <row r="995" spans="1:6" x14ac:dyDescent="0.3">
      <c r="A995">
        <v>994</v>
      </c>
      <c r="B995" t="s">
        <v>3796</v>
      </c>
      <c r="C995" t="s">
        <v>45</v>
      </c>
      <c r="D995" s="1" t="s">
        <v>3797</v>
      </c>
      <c r="E995" t="s">
        <v>3798</v>
      </c>
      <c r="F995" t="s">
        <v>3799</v>
      </c>
    </row>
    <row r="996" spans="1:6" x14ac:dyDescent="0.3">
      <c r="A996">
        <v>995</v>
      </c>
      <c r="B996" t="s">
        <v>3800</v>
      </c>
      <c r="C996" t="s">
        <v>7</v>
      </c>
      <c r="D996" s="1" t="s">
        <v>3801</v>
      </c>
      <c r="E996" t="s">
        <v>3802</v>
      </c>
      <c r="F996" t="s">
        <v>3803</v>
      </c>
    </row>
    <row r="997" spans="1:6" x14ac:dyDescent="0.3">
      <c r="A997">
        <v>996</v>
      </c>
      <c r="B997" t="s">
        <v>3804</v>
      </c>
      <c r="C997" t="s">
        <v>32</v>
      </c>
      <c r="D997" s="1" t="s">
        <v>3805</v>
      </c>
      <c r="E997" t="s">
        <v>2978</v>
      </c>
      <c r="F997" t="s">
        <v>3806</v>
      </c>
    </row>
    <row r="998" spans="1:6" x14ac:dyDescent="0.3">
      <c r="A998">
        <v>997</v>
      </c>
      <c r="B998" t="s">
        <v>3807</v>
      </c>
      <c r="C998" t="s">
        <v>45</v>
      </c>
      <c r="D998" s="1" t="s">
        <v>3808</v>
      </c>
      <c r="E998" t="s">
        <v>3809</v>
      </c>
      <c r="F998" t="s">
        <v>3810</v>
      </c>
    </row>
    <row r="999" spans="1:6" x14ac:dyDescent="0.3">
      <c r="A999">
        <v>998</v>
      </c>
      <c r="B999" t="s">
        <v>3811</v>
      </c>
      <c r="C999" t="s">
        <v>11</v>
      </c>
      <c r="D999" s="1" t="s">
        <v>3812</v>
      </c>
      <c r="E999" t="s">
        <v>3813</v>
      </c>
      <c r="F999" t="s">
        <v>3814</v>
      </c>
    </row>
    <row r="1000" spans="1:6" x14ac:dyDescent="0.3">
      <c r="A1000">
        <v>999</v>
      </c>
      <c r="B1000" t="s">
        <v>3815</v>
      </c>
      <c r="C1000" t="s">
        <v>11</v>
      </c>
      <c r="D1000" s="1" t="s">
        <v>3816</v>
      </c>
      <c r="E1000" t="s">
        <v>3817</v>
      </c>
      <c r="F1000" t="s">
        <v>3818</v>
      </c>
    </row>
    <row r="1001" spans="1:6" x14ac:dyDescent="0.3">
      <c r="A1001">
        <v>1000</v>
      </c>
      <c r="B1001" t="s">
        <v>3819</v>
      </c>
      <c r="C1001" t="s">
        <v>32</v>
      </c>
      <c r="D1001" s="1" t="s">
        <v>3820</v>
      </c>
      <c r="E1001" t="s">
        <v>3821</v>
      </c>
      <c r="F1001" t="s">
        <v>3822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providers_data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GULFAM SHEIKH</cp:lastModifiedBy>
  <dcterms:created xsi:type="dcterms:W3CDTF">2025-07-29T13:04:36Z</dcterms:created>
  <dcterms:modified xsi:type="dcterms:W3CDTF">2025-07-29T13:04:36Z</dcterms:modified>
</cp:coreProperties>
</file>