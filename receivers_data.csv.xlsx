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ik\Desktop\Project - MDH3\Food waste management system project\"/>
    </mc:Choice>
  </mc:AlternateContent>
  <xr:revisionPtr revIDLastSave="0" documentId="8_{BD25DDD4-60A2-4980-BA47-DDDCAF5F7B97}" xr6:coauthVersionLast="47" xr6:coauthVersionMax="47" xr10:uidLastSave="{00000000-0000-0000-0000-000000000000}"/>
  <bookViews>
    <workbookView xWindow="-108" yWindow="-108" windowWidth="23256" windowHeight="12456" xr2:uid="{30B24D5C-0E17-44F4-A3D0-CBE7CE02BDF1}"/>
  </bookViews>
  <sheets>
    <sheet name="receivers_data" sheetId="1" r:id="rId1"/>
  </sheets>
  <calcPr calcId="0"/>
</workbook>
</file>

<file path=xl/calcChain.xml><?xml version="1.0" encoding="utf-8"?>
<calcChain xmlns="http://schemas.openxmlformats.org/spreadsheetml/2006/main">
  <c r="E9" i="1" l="1"/>
  <c r="E12" i="1"/>
  <c r="E23" i="1"/>
  <c r="E73" i="1"/>
  <c r="E76" i="1"/>
  <c r="E132" i="1"/>
  <c r="E161" i="1"/>
  <c r="E164" i="1"/>
  <c r="E220" i="1"/>
  <c r="E263" i="1"/>
  <c r="E268" i="1"/>
  <c r="E308" i="1"/>
  <c r="E326" i="1"/>
  <c r="E357" i="1"/>
  <c r="E376" i="1"/>
  <c r="E403" i="1"/>
  <c r="E429" i="1"/>
  <c r="E522" i="1"/>
  <c r="E546" i="1"/>
  <c r="E549" i="1"/>
  <c r="E552" i="1"/>
  <c r="E556" i="1"/>
  <c r="E565" i="1"/>
  <c r="E605" i="1"/>
  <c r="E657" i="1"/>
  <c r="E724" i="1"/>
  <c r="E730" i="1"/>
  <c r="E753" i="1"/>
  <c r="E770" i="1"/>
  <c r="E796" i="1"/>
  <c r="E950" i="1"/>
  <c r="E953" i="1"/>
  <c r="E971" i="1"/>
  <c r="E987" i="1"/>
</calcChain>
</file>

<file path=xl/sharedStrings.xml><?xml version="1.0" encoding="utf-8"?>
<sst xmlns="http://schemas.openxmlformats.org/spreadsheetml/2006/main" count="3883" uniqueCount="2845">
  <si>
    <t>Receiver_ID</t>
  </si>
  <si>
    <t>Name</t>
  </si>
  <si>
    <t>Type</t>
  </si>
  <si>
    <t>City</t>
  </si>
  <si>
    <t>Contact</t>
  </si>
  <si>
    <t>Donald Gomez</t>
  </si>
  <si>
    <t>Shelter</t>
  </si>
  <si>
    <t>Port Carlburgh</t>
  </si>
  <si>
    <t>(955)922-5295</t>
  </si>
  <si>
    <t>Laurie Ramos</t>
  </si>
  <si>
    <t>Individual</t>
  </si>
  <si>
    <t>Lewisburgh</t>
  </si>
  <si>
    <t>761.042.1570</t>
  </si>
  <si>
    <t>Ashley Mckee</t>
  </si>
  <si>
    <t>NGO</t>
  </si>
  <si>
    <t>South Randalltown</t>
  </si>
  <si>
    <t>691-023-0094x856</t>
  </si>
  <si>
    <t>Erika Rose</t>
  </si>
  <si>
    <t>South Shaneville</t>
  </si>
  <si>
    <t>John Romero</t>
  </si>
  <si>
    <t>Bakerport</t>
  </si>
  <si>
    <t>067.491.0154</t>
  </si>
  <si>
    <t>Mandy Sutton PhD</t>
  </si>
  <si>
    <t>East Sharimouth</t>
  </si>
  <si>
    <t>682-777-5357</t>
  </si>
  <si>
    <t>Kenneth Baker</t>
  </si>
  <si>
    <t>South Edwinborough</t>
  </si>
  <si>
    <t>126-645-6386x4071</t>
  </si>
  <si>
    <t>James Perez</t>
  </si>
  <si>
    <t>Charity</t>
  </si>
  <si>
    <t>Benjaminburgh</t>
  </si>
  <si>
    <t>Emily Turner</t>
  </si>
  <si>
    <t>West Robert</t>
  </si>
  <si>
    <t>001-631-022-6157x520</t>
  </si>
  <si>
    <t>Mary Salazar</t>
  </si>
  <si>
    <t>Wrightland</t>
  </si>
  <si>
    <t>001-187-333-7518x11395</t>
  </si>
  <si>
    <t>Amber Pacheco</t>
  </si>
  <si>
    <t>South Gregorymouth</t>
  </si>
  <si>
    <t>Jennifer Bishop</t>
  </si>
  <si>
    <t>Katherineside</t>
  </si>
  <si>
    <t>+1-801-363-6355x49805</t>
  </si>
  <si>
    <t>Jamie Sutton</t>
  </si>
  <si>
    <t>Lake Matthewstad</t>
  </si>
  <si>
    <t>001-176-847-8920x2687</t>
  </si>
  <si>
    <t>Brian Fischer</t>
  </si>
  <si>
    <t>Burkeside</t>
  </si>
  <si>
    <t>947-041-3246x326</t>
  </si>
  <si>
    <t>Donald Kelly</t>
  </si>
  <si>
    <t>Port Ronald</t>
  </si>
  <si>
    <t>(935)798-5303</t>
  </si>
  <si>
    <t>Elizabeth Lewis</t>
  </si>
  <si>
    <t>Port Tara</t>
  </si>
  <si>
    <t>500.386.3867x7565</t>
  </si>
  <si>
    <t>Melissa Castillo</t>
  </si>
  <si>
    <t>Silvaport</t>
  </si>
  <si>
    <t>(699)232-9544</t>
  </si>
  <si>
    <t>Lisa Williams</t>
  </si>
  <si>
    <t>Moranhaven</t>
  </si>
  <si>
    <t>360-505-5780x95688</t>
  </si>
  <si>
    <t>Courtney Sanders</t>
  </si>
  <si>
    <t>North Cynthiaberg</t>
  </si>
  <si>
    <t>001-083-754-0501</t>
  </si>
  <si>
    <t>George Palmer</t>
  </si>
  <si>
    <t>Sandrahaven</t>
  </si>
  <si>
    <t>744.838.6083</t>
  </si>
  <si>
    <t>Emily Davidson</t>
  </si>
  <si>
    <t>Jonesside</t>
  </si>
  <si>
    <t>001-893-473-0769x51510</t>
  </si>
  <si>
    <t>Kristina Meza</t>
  </si>
  <si>
    <t>Lake Nicole</t>
  </si>
  <si>
    <t>Kurt Ward</t>
  </si>
  <si>
    <t>Aliciabury</t>
  </si>
  <si>
    <t>479-035-9976x19919</t>
  </si>
  <si>
    <t>Tammy Moore</t>
  </si>
  <si>
    <t>Monicafort</t>
  </si>
  <si>
    <t>721.105.5278</t>
  </si>
  <si>
    <t>Lisa Mcclain</t>
  </si>
  <si>
    <t>Lake Elizabeth</t>
  </si>
  <si>
    <t>292-153-9082x59361</t>
  </si>
  <si>
    <t>Kimberly Lindsey</t>
  </si>
  <si>
    <t>Port Matthewmouth</t>
  </si>
  <si>
    <t>+1-979-511-1434x565</t>
  </si>
  <si>
    <t>Johnny Page</t>
  </si>
  <si>
    <t>Susanfurt</t>
  </si>
  <si>
    <t>251.922.2940</t>
  </si>
  <si>
    <t>Mary Franklin</t>
  </si>
  <si>
    <t>Courtneyfurt</t>
  </si>
  <si>
    <t>001-046-188-9986x12178</t>
  </si>
  <si>
    <t>Nicholas Robinson</t>
  </si>
  <si>
    <t>Lake Kendra</t>
  </si>
  <si>
    <t>930-104-8973x8326</t>
  </si>
  <si>
    <t>Bruce Sanchez</t>
  </si>
  <si>
    <t>North Heather</t>
  </si>
  <si>
    <t>598.459.1819x6171</t>
  </si>
  <si>
    <t>Rose Powell</t>
  </si>
  <si>
    <t>Spencermouth</t>
  </si>
  <si>
    <t>247-152-7297x648</t>
  </si>
  <si>
    <t>Audrey Perez</t>
  </si>
  <si>
    <t>Taylorfort</t>
  </si>
  <si>
    <t>637-025-7736</t>
  </si>
  <si>
    <t>Anita Kerr</t>
  </si>
  <si>
    <t>Walshfort</t>
  </si>
  <si>
    <t>(568)992-9509</t>
  </si>
  <si>
    <t>Megan Alvarez</t>
  </si>
  <si>
    <t>North Robert</t>
  </si>
  <si>
    <t>James Castaneda</t>
  </si>
  <si>
    <t>South Rachaelhaven</t>
  </si>
  <si>
    <t>932-277-2945x55052</t>
  </si>
  <si>
    <t>Teresa Davis</t>
  </si>
  <si>
    <t>Olsonville</t>
  </si>
  <si>
    <t>001-737-507-3051x34768</t>
  </si>
  <si>
    <t>Angel Adams</t>
  </si>
  <si>
    <t>West Erik</t>
  </si>
  <si>
    <t>+1-785-849-9596x994</t>
  </si>
  <si>
    <t>Alexander Mullins</t>
  </si>
  <si>
    <t>Josephview</t>
  </si>
  <si>
    <t>(248)481-7680</t>
  </si>
  <si>
    <t>John Ramirez</t>
  </si>
  <si>
    <t>Moorechester</t>
  </si>
  <si>
    <t>(859)701-8773</t>
  </si>
  <si>
    <t>Abigail Davis</t>
  </si>
  <si>
    <t>West Carrie</t>
  </si>
  <si>
    <t>(307)825-3197</t>
  </si>
  <si>
    <t>Julia Elliott</t>
  </si>
  <si>
    <t>Port Kellyburgh</t>
  </si>
  <si>
    <t>+1-613-882-6551x33036</t>
  </si>
  <si>
    <t>Maria Jacobs</t>
  </si>
  <si>
    <t>Port Dawntown</t>
  </si>
  <si>
    <t>(225)019-8954</t>
  </si>
  <si>
    <t>Bobby Perry</t>
  </si>
  <si>
    <t>Amberfort</t>
  </si>
  <si>
    <t>(020)628-9733x57055</t>
  </si>
  <si>
    <t>Andrew Lawson</t>
  </si>
  <si>
    <t>Davisborough</t>
  </si>
  <si>
    <t>622.566.7870</t>
  </si>
  <si>
    <t>Derek Potter</t>
  </si>
  <si>
    <t>South Laurachester</t>
  </si>
  <si>
    <t>497-372-7517x026</t>
  </si>
  <si>
    <t>Kevin Lee</t>
  </si>
  <si>
    <t>East Teresahaven</t>
  </si>
  <si>
    <t>354.253.8089</t>
  </si>
  <si>
    <t>Taylor Dean</t>
  </si>
  <si>
    <t>297-100-5658</t>
  </si>
  <si>
    <t>Jennifer Graham</t>
  </si>
  <si>
    <t>East Saraport</t>
  </si>
  <si>
    <t>001-979-746-0394x487</t>
  </si>
  <si>
    <t>Gabriel Nicholson</t>
  </si>
  <si>
    <t>South Tonyaborough</t>
  </si>
  <si>
    <t>030-052-3339x1285</t>
  </si>
  <si>
    <t>Brian Gonzales</t>
  </si>
  <si>
    <t>North Sarah</t>
  </si>
  <si>
    <t>001-241-438-2803x907</t>
  </si>
  <si>
    <t>Timothy Clark</t>
  </si>
  <si>
    <t>Port Johnchester</t>
  </si>
  <si>
    <t>217-662-1143x941</t>
  </si>
  <si>
    <t>Cheryl Dillon</t>
  </si>
  <si>
    <t>Hornemouth</t>
  </si>
  <si>
    <t>350.146.1578</t>
  </si>
  <si>
    <t>Cassandra Owens</t>
  </si>
  <si>
    <t>Tomburgh</t>
  </si>
  <si>
    <t>001-813-193-7735x105</t>
  </si>
  <si>
    <t>Veronica Howard</t>
  </si>
  <si>
    <t>Higginsmouth</t>
  </si>
  <si>
    <t>(517)632-2362x07333</t>
  </si>
  <si>
    <t>Erika Rodriguez</t>
  </si>
  <si>
    <t>Larastad</t>
  </si>
  <si>
    <t>001-732-132-0041x81457</t>
  </si>
  <si>
    <t>Deborah Smith</t>
  </si>
  <si>
    <t>Jasonshire</t>
  </si>
  <si>
    <t>996.039.4276x36961</t>
  </si>
  <si>
    <t>Christopher Lozano</t>
  </si>
  <si>
    <t>New Mary</t>
  </si>
  <si>
    <t>217-827-0862</t>
  </si>
  <si>
    <t>Julia Madden</t>
  </si>
  <si>
    <t>Michaelton</t>
  </si>
  <si>
    <t>(321)207-8844</t>
  </si>
  <si>
    <t>Alicia Thomas</t>
  </si>
  <si>
    <t>Lake Mary</t>
  </si>
  <si>
    <t>(604)320-0347x3019</t>
  </si>
  <si>
    <t>Jessica Rivas</t>
  </si>
  <si>
    <t>Phillipborough</t>
  </si>
  <si>
    <t>351-783-1595x022</t>
  </si>
  <si>
    <t>John Vazquez</t>
  </si>
  <si>
    <t>South Kathleenbury</t>
  </si>
  <si>
    <t>(237)065-6422x5123</t>
  </si>
  <si>
    <t>Nichole Lewis</t>
  </si>
  <si>
    <t>North Catherinefurt</t>
  </si>
  <si>
    <t>777-445-5269x5255</t>
  </si>
  <si>
    <t>David Turner</t>
  </si>
  <si>
    <t>East William</t>
  </si>
  <si>
    <t>Debra Sheppard</t>
  </si>
  <si>
    <t>North Darinshire</t>
  </si>
  <si>
    <t>001-726-678-1689</t>
  </si>
  <si>
    <t>Cody Gardner</t>
  </si>
  <si>
    <t>Port Belinda</t>
  </si>
  <si>
    <t>(565)395-0421x232</t>
  </si>
  <si>
    <t>Jade Jackson</t>
  </si>
  <si>
    <t>West Jaclyn</t>
  </si>
  <si>
    <t>098-158-2253x172</t>
  </si>
  <si>
    <t>Rodney Walker</t>
  </si>
  <si>
    <t>Strongshire</t>
  </si>
  <si>
    <t>001-833-385-7777x5891</t>
  </si>
  <si>
    <t>Wesley Thompson</t>
  </si>
  <si>
    <t>Edwardburgh</t>
  </si>
  <si>
    <t>+1-901-255-2891x97537</t>
  </si>
  <si>
    <t>Scott Brown</t>
  </si>
  <si>
    <t>East Dylan</t>
  </si>
  <si>
    <t>302-197-9398x95559</t>
  </si>
  <si>
    <t>Carolyn Whitaker</t>
  </si>
  <si>
    <t>Gregoryville</t>
  </si>
  <si>
    <t>Timothy Daniel</t>
  </si>
  <si>
    <t>New Gloriaburgh</t>
  </si>
  <si>
    <t>001-562-181-9662x9861</t>
  </si>
  <si>
    <t>Charles Davidson</t>
  </si>
  <si>
    <t>West Angelatown</t>
  </si>
  <si>
    <t>Kimberly Mills</t>
  </si>
  <si>
    <t>Christineton</t>
  </si>
  <si>
    <t>288-821-5439</t>
  </si>
  <si>
    <t>Patricia Smith</t>
  </si>
  <si>
    <t>Laurafurt</t>
  </si>
  <si>
    <t>(220)453-5600</t>
  </si>
  <si>
    <t>Nicholas Smith</t>
  </si>
  <si>
    <t>Manningtown</t>
  </si>
  <si>
    <t>Anna Lopez</t>
  </si>
  <si>
    <t>North Jenniferside</t>
  </si>
  <si>
    <t>001-805-624-5306</t>
  </si>
  <si>
    <t>Juan Spencer</t>
  </si>
  <si>
    <t>North David</t>
  </si>
  <si>
    <t>+1-144-242-7963x89583</t>
  </si>
  <si>
    <t>Aaron Davis</t>
  </si>
  <si>
    <t>Marshallton</t>
  </si>
  <si>
    <t>231.082.0755</t>
  </si>
  <si>
    <t>Meagan Ramirez</t>
  </si>
  <si>
    <t>Angelaville</t>
  </si>
  <si>
    <t>001-671-666-7691x55556</t>
  </si>
  <si>
    <t>Eric Jackson</t>
  </si>
  <si>
    <t>Knightburgh</t>
  </si>
  <si>
    <t>Theresa Ramirez</t>
  </si>
  <si>
    <t>Port Gregoryport</t>
  </si>
  <si>
    <t>+1-582-895-7478x325</t>
  </si>
  <si>
    <t>Laura Bennett</t>
  </si>
  <si>
    <t>Evansside</t>
  </si>
  <si>
    <t>(379)719-1693x40160</t>
  </si>
  <si>
    <t>Julie Hines</t>
  </si>
  <si>
    <t>Davidview</t>
  </si>
  <si>
    <t>143-601-6545x48405</t>
  </si>
  <si>
    <t>Deanna Lewis</t>
  </si>
  <si>
    <t>East Kelli</t>
  </si>
  <si>
    <t>Jeffery Mueller</t>
  </si>
  <si>
    <t>Lake John</t>
  </si>
  <si>
    <t>Jessica Grant</t>
  </si>
  <si>
    <t>Smithshire</t>
  </si>
  <si>
    <t>601.132.1809x716</t>
  </si>
  <si>
    <t>Tammy Walker MD</t>
  </si>
  <si>
    <t>West Ronaldland</t>
  </si>
  <si>
    <t>(982)044-7177</t>
  </si>
  <si>
    <t>Eric Ryan DDS</t>
  </si>
  <si>
    <t>Lake Daniel</t>
  </si>
  <si>
    <t>001-677-794-6847x02126</t>
  </si>
  <si>
    <t>Mr. David Lambert</t>
  </si>
  <si>
    <t>Robinsonside</t>
  </si>
  <si>
    <t>(929)841-1999</t>
  </si>
  <si>
    <t>Alvin West</t>
  </si>
  <si>
    <t>Kellybury</t>
  </si>
  <si>
    <t>(417)314-8724</t>
  </si>
  <si>
    <t>Ashley James</t>
  </si>
  <si>
    <t>Garrettborough</t>
  </si>
  <si>
    <t>192-784-7581x225</t>
  </si>
  <si>
    <t>Bridget Peterson</t>
  </si>
  <si>
    <t>Greenton</t>
  </si>
  <si>
    <t>(509)037-6331x927</t>
  </si>
  <si>
    <t>Allison Bray</t>
  </si>
  <si>
    <t>Alexatown</t>
  </si>
  <si>
    <t>001-122-277-3588</t>
  </si>
  <si>
    <t>Timothy Patel DVM</t>
  </si>
  <si>
    <t>New Jessica</t>
  </si>
  <si>
    <t>+1-046-832-9667x841</t>
  </si>
  <si>
    <t>Anthony Green</t>
  </si>
  <si>
    <t>Laurafort</t>
  </si>
  <si>
    <t>001-706-024-9230x5313</t>
  </si>
  <si>
    <t>Michael Walls</t>
  </si>
  <si>
    <t>Carterside</t>
  </si>
  <si>
    <t>650-930-7741</t>
  </si>
  <si>
    <t>Nathan May</t>
  </si>
  <si>
    <t>South Veronicaburgh</t>
  </si>
  <si>
    <t>(808)784-9354</t>
  </si>
  <si>
    <t>Brian Cowan</t>
  </si>
  <si>
    <t>Henryhaven</t>
  </si>
  <si>
    <t>(234)142-1265x21005</t>
  </si>
  <si>
    <t>Nancy Silva</t>
  </si>
  <si>
    <t>Russellville</t>
  </si>
  <si>
    <t>929.221.3591x105</t>
  </si>
  <si>
    <t>Melissa Little</t>
  </si>
  <si>
    <t>Robertaborough</t>
  </si>
  <si>
    <t>(250)263-7746x235</t>
  </si>
  <si>
    <t>Nicole Reid</t>
  </si>
  <si>
    <t>Hollytown</t>
  </si>
  <si>
    <t>808.564.6895</t>
  </si>
  <si>
    <t>Daniel Burton</t>
  </si>
  <si>
    <t>North Matthewhaven</t>
  </si>
  <si>
    <t>972.284.4190x487</t>
  </si>
  <si>
    <t>Karen Cruz</t>
  </si>
  <si>
    <t>West Justin</t>
  </si>
  <si>
    <t>(500)583-5978</t>
  </si>
  <si>
    <t>Victor Reyes</t>
  </si>
  <si>
    <t>North Joshuafort</t>
  </si>
  <si>
    <t>+1-411-230-8872x5335</t>
  </si>
  <si>
    <t>Trevor Wilson</t>
  </si>
  <si>
    <t>North Pamela</t>
  </si>
  <si>
    <t>001-651-719-1403x4050</t>
  </si>
  <si>
    <t>David Johnson</t>
  </si>
  <si>
    <t>Lake Rebecca</t>
  </si>
  <si>
    <t>035-019-0294</t>
  </si>
  <si>
    <t>Jessica Morris</t>
  </si>
  <si>
    <t>Port Elizabethton</t>
  </si>
  <si>
    <t>(137)776-1761</t>
  </si>
  <si>
    <t>Suzanne Dawson</t>
  </si>
  <si>
    <t>East Josephstad</t>
  </si>
  <si>
    <t>+1-682-159-2143x3841</t>
  </si>
  <si>
    <t>Rachel Nguyen</t>
  </si>
  <si>
    <t>Theresamouth</t>
  </si>
  <si>
    <t>(040)545-2043</t>
  </si>
  <si>
    <t>Karla Castillo</t>
  </si>
  <si>
    <t>Lake Michaelton</t>
  </si>
  <si>
    <t>192-811-2685x97518</t>
  </si>
  <si>
    <t>Deanna Flores</t>
  </si>
  <si>
    <t>West Johnny</t>
  </si>
  <si>
    <t>Brady Lopez</t>
  </si>
  <si>
    <t>Michaeltown</t>
  </si>
  <si>
    <t>831.275.5906x807</t>
  </si>
  <si>
    <t>Jonathan Young</t>
  </si>
  <si>
    <t>Georgeborough</t>
  </si>
  <si>
    <t>164-864-1786x77029</t>
  </si>
  <si>
    <t>John Chase</t>
  </si>
  <si>
    <t>Meganton</t>
  </si>
  <si>
    <t>530.424.6470x4854</t>
  </si>
  <si>
    <t>Anthony Carter</t>
  </si>
  <si>
    <t>Scottmouth</t>
  </si>
  <si>
    <t>(499)726-7360</t>
  </si>
  <si>
    <t>Mark Lee</t>
  </si>
  <si>
    <t>Port Teresa</t>
  </si>
  <si>
    <t>001-983-757-6830x086</t>
  </si>
  <si>
    <t>Kelly Pierce</t>
  </si>
  <si>
    <t>East Heatherborough</t>
  </si>
  <si>
    <t>517.232.1717</t>
  </si>
  <si>
    <t>Matthew Tran</t>
  </si>
  <si>
    <t>South Franciscoport</t>
  </si>
  <si>
    <t>583.144.1560x457</t>
  </si>
  <si>
    <t>Jasmine Robertson</t>
  </si>
  <si>
    <t>Deanview</t>
  </si>
  <si>
    <t>001-388-078-6769x4237</t>
  </si>
  <si>
    <t>Matthew Ramos</t>
  </si>
  <si>
    <t>Kennethberg</t>
  </si>
  <si>
    <t>(503)563-9703x9449</t>
  </si>
  <si>
    <t>Gavin Freeman</t>
  </si>
  <si>
    <t>Ayalamouth</t>
  </si>
  <si>
    <t>Drew Cline</t>
  </si>
  <si>
    <t>Port Patriciachester</t>
  </si>
  <si>
    <t>517-828-7715</t>
  </si>
  <si>
    <t>Teresa Williams</t>
  </si>
  <si>
    <t>South Alexandraport</t>
  </si>
  <si>
    <t>(673)228-8829x64732</t>
  </si>
  <si>
    <t>Marie Andrade</t>
  </si>
  <si>
    <t>Meghanfort</t>
  </si>
  <si>
    <t>314-096-2823</t>
  </si>
  <si>
    <t>Tammy Smith</t>
  </si>
  <si>
    <t>Campbellchester</t>
  </si>
  <si>
    <t>001-668-537-1925x410</t>
  </si>
  <si>
    <t>Heather Brown</t>
  </si>
  <si>
    <t>North Lori</t>
  </si>
  <si>
    <t>(836)116-1365x8718</t>
  </si>
  <si>
    <t>Hayden Hill</t>
  </si>
  <si>
    <t>North Roger</t>
  </si>
  <si>
    <t>Sarah Carter</t>
  </si>
  <si>
    <t>New Benjamin</t>
  </si>
  <si>
    <t>001-513-018-5852</t>
  </si>
  <si>
    <t>Denise Martinez</t>
  </si>
  <si>
    <t>Drakeburgh</t>
  </si>
  <si>
    <t>(463)887-8557x617</t>
  </si>
  <si>
    <t>Matthew Hughes</t>
  </si>
  <si>
    <t>Marieview</t>
  </si>
  <si>
    <t>468-431-4471</t>
  </si>
  <si>
    <t>Shawn Mills</t>
  </si>
  <si>
    <t>Jeffhaven</t>
  </si>
  <si>
    <t>Katherine Gomez</t>
  </si>
  <si>
    <t>South Jasonberg</t>
  </si>
  <si>
    <t>(609)802-2108x3673</t>
  </si>
  <si>
    <t>Robert Johnson</t>
  </si>
  <si>
    <t>West James</t>
  </si>
  <si>
    <t>301-749-5770</t>
  </si>
  <si>
    <t>Emily Christian</t>
  </si>
  <si>
    <t>Marcusberg</t>
  </si>
  <si>
    <t>(724)629-2189x533</t>
  </si>
  <si>
    <t>Jeanne Spencer</t>
  </si>
  <si>
    <t>Huntermouth</t>
  </si>
  <si>
    <t>987-474-6001x775</t>
  </si>
  <si>
    <t>Katherine Murphy</t>
  </si>
  <si>
    <t>New Elaine</t>
  </si>
  <si>
    <t>James Jones</t>
  </si>
  <si>
    <t>Bakerfort</t>
  </si>
  <si>
    <t>Christina Potter</t>
  </si>
  <si>
    <t>Phillipsbury</t>
  </si>
  <si>
    <t>+1-366-144-4542x657</t>
  </si>
  <si>
    <t>Charles Martin</t>
  </si>
  <si>
    <t>New Christopher</t>
  </si>
  <si>
    <t>(586)009-0817x964</t>
  </si>
  <si>
    <t>Kristin Scott</t>
  </si>
  <si>
    <t>North Christina</t>
  </si>
  <si>
    <t>598.905.9117</t>
  </si>
  <si>
    <t>Christine Gray</t>
  </si>
  <si>
    <t>Dawnview</t>
  </si>
  <si>
    <t>001-466-538-0401</t>
  </si>
  <si>
    <t>Melody Good</t>
  </si>
  <si>
    <t>Wilsonfort</t>
  </si>
  <si>
    <t>Amanda Hendricks</t>
  </si>
  <si>
    <t>Nancyshire</t>
  </si>
  <si>
    <t>009.494.1313</t>
  </si>
  <si>
    <t>Jennifer Nelson</t>
  </si>
  <si>
    <t>North Paul</t>
  </si>
  <si>
    <t>(613)802-7241x644</t>
  </si>
  <si>
    <t>David Hull</t>
  </si>
  <si>
    <t>Tanyachester</t>
  </si>
  <si>
    <t>139.804.6633</t>
  </si>
  <si>
    <t>John Cummings</t>
  </si>
  <si>
    <t>Joshuamouth</t>
  </si>
  <si>
    <t>Sara Wise</t>
  </si>
  <si>
    <t>New Shannonbury</t>
  </si>
  <si>
    <t>086-773-6881x8590</t>
  </si>
  <si>
    <t>Robert Simon</t>
  </si>
  <si>
    <t>North Amandafort</t>
  </si>
  <si>
    <t>(172)646-7107x977</t>
  </si>
  <si>
    <t>Nathan Willis</t>
  </si>
  <si>
    <t>Danielfort</t>
  </si>
  <si>
    <t>830.318.9696x322</t>
  </si>
  <si>
    <t>Kelly Howe</t>
  </si>
  <si>
    <t>Davidmouth</t>
  </si>
  <si>
    <t>096.059.3098x621</t>
  </si>
  <si>
    <t>Lisa Eaton</t>
  </si>
  <si>
    <t>New Aimeemouth</t>
  </si>
  <si>
    <t>342.869.6733</t>
  </si>
  <si>
    <t>Jasmine Miranda</t>
  </si>
  <si>
    <t>Caseyland</t>
  </si>
  <si>
    <t>913.509.4800x3395</t>
  </si>
  <si>
    <t>Jason Holmes</t>
  </si>
  <si>
    <t>Williamtown</t>
  </si>
  <si>
    <t>+1-865-533-0612x9768</t>
  </si>
  <si>
    <t>Thomas Johnson</t>
  </si>
  <si>
    <t>Lake Victoriaport</t>
  </si>
  <si>
    <t>Christopher Kennedy</t>
  </si>
  <si>
    <t>Patriciaton</t>
  </si>
  <si>
    <t>509-179-8044</t>
  </si>
  <si>
    <t>Corey Mitchell</t>
  </si>
  <si>
    <t>Jacobsmouth</t>
  </si>
  <si>
    <t>001-392-115-8557x9367</t>
  </si>
  <si>
    <t>Jason Davis</t>
  </si>
  <si>
    <t>Charleston</t>
  </si>
  <si>
    <t>523-114-6883</t>
  </si>
  <si>
    <t>Gregory Murphy</t>
  </si>
  <si>
    <t>South Ashley</t>
  </si>
  <si>
    <t>(090)319-2480</t>
  </si>
  <si>
    <t>Angela Cortez</t>
  </si>
  <si>
    <t>Lisaton</t>
  </si>
  <si>
    <t>+1-685-216-4851x71780</t>
  </si>
  <si>
    <t>Tracy Hartman</t>
  </si>
  <si>
    <t>South Jill</t>
  </si>
  <si>
    <t>Mary Nguyen</t>
  </si>
  <si>
    <t>Mcclurestad</t>
  </si>
  <si>
    <t>+1-453-182-2743x789</t>
  </si>
  <si>
    <t>Douglas Baxter</t>
  </si>
  <si>
    <t>Amandaville</t>
  </si>
  <si>
    <t>+1-139-598-2308x18363</t>
  </si>
  <si>
    <t>Jennifer Anderson</t>
  </si>
  <si>
    <t>Daleshire</t>
  </si>
  <si>
    <t>Aaron Scott</t>
  </si>
  <si>
    <t>Heatherfurt</t>
  </si>
  <si>
    <t>(075)863-3168x28937</t>
  </si>
  <si>
    <t>Danielle Bailey</t>
  </si>
  <si>
    <t>East Sarahtown</t>
  </si>
  <si>
    <t>(326)806-0927x09574</t>
  </si>
  <si>
    <t>Danielle Willis</t>
  </si>
  <si>
    <t>Ginamouth</t>
  </si>
  <si>
    <t>870.458.3747x34840</t>
  </si>
  <si>
    <t>Erica Fox</t>
  </si>
  <si>
    <t>West Shawn</t>
  </si>
  <si>
    <t>001-029-918-8786x2118</t>
  </si>
  <si>
    <t>Kayla Johnson</t>
  </si>
  <si>
    <t>East Timhaven</t>
  </si>
  <si>
    <t>786.534.5065</t>
  </si>
  <si>
    <t>Jon Stanton</t>
  </si>
  <si>
    <t>Nguyenfurt</t>
  </si>
  <si>
    <t>467-723-2786x8881</t>
  </si>
  <si>
    <t>Adam Browning</t>
  </si>
  <si>
    <t>Port Erica</t>
  </si>
  <si>
    <t>196.596.9067</t>
  </si>
  <si>
    <t>Suzanne Velasquez</t>
  </si>
  <si>
    <t>Joanchester</t>
  </si>
  <si>
    <t>(305)672-4633x961</t>
  </si>
  <si>
    <t>Nicole Brown</t>
  </si>
  <si>
    <t>Thomaston</t>
  </si>
  <si>
    <t>216-121-6760</t>
  </si>
  <si>
    <t>Jason Moore</t>
  </si>
  <si>
    <t>West Courtneyport</t>
  </si>
  <si>
    <t>913.468.5154x18139</t>
  </si>
  <si>
    <t>Matthew Johnson</t>
  </si>
  <si>
    <t>Smithstad</t>
  </si>
  <si>
    <t>285.859.0597</t>
  </si>
  <si>
    <t>Stephanie Hoffman</t>
  </si>
  <si>
    <t>New Tiffany</t>
  </si>
  <si>
    <t>(972)598-5363x199</t>
  </si>
  <si>
    <t>Brendan Farley</t>
  </si>
  <si>
    <t>Nicoleport</t>
  </si>
  <si>
    <t>376.330.3007</t>
  </si>
  <si>
    <t>Tonya Lucas</t>
  </si>
  <si>
    <t>Robertsonchester</t>
  </si>
  <si>
    <t>+1-913-542-6523x9521</t>
  </si>
  <si>
    <t>Deanna Jarvis</t>
  </si>
  <si>
    <t>Port Emilymouth</t>
  </si>
  <si>
    <t>(799)565-8611</t>
  </si>
  <si>
    <t>Adam Hodge</t>
  </si>
  <si>
    <t>West Krystalview</t>
  </si>
  <si>
    <t>+1-163-751-5462x947</t>
  </si>
  <si>
    <t>Michelle Cook</t>
  </si>
  <si>
    <t>Peterhaven</t>
  </si>
  <si>
    <t>(412)902-4858</t>
  </si>
  <si>
    <t>Paul Evans</t>
  </si>
  <si>
    <t>Troy Miller</t>
  </si>
  <si>
    <t>Seanside</t>
  </si>
  <si>
    <t>Nicole Walker</t>
  </si>
  <si>
    <t>Thomasland</t>
  </si>
  <si>
    <t>001-617-475-6913x02561</t>
  </si>
  <si>
    <t>Matthew Sanchez</t>
  </si>
  <si>
    <t>Port Melissa</t>
  </si>
  <si>
    <t>001-715-920-1622x23981</t>
  </si>
  <si>
    <t>Shannon Pineda</t>
  </si>
  <si>
    <t>Lake Amanda</t>
  </si>
  <si>
    <t>129-249-0893x786</t>
  </si>
  <si>
    <t>John Massey</t>
  </si>
  <si>
    <t>Heathertown</t>
  </si>
  <si>
    <t>Amy Thomas</t>
  </si>
  <si>
    <t>Lake Erica</t>
  </si>
  <si>
    <t>+1-215-295-0597x4795</t>
  </si>
  <si>
    <t>Tina Ingram</t>
  </si>
  <si>
    <t>Angelicatown</t>
  </si>
  <si>
    <t>+1-967-134-3646x12054</t>
  </si>
  <si>
    <t>Stephen Smith</t>
  </si>
  <si>
    <t>Maxberg</t>
  </si>
  <si>
    <t>(690)326-1349x605</t>
  </si>
  <si>
    <t>Maria Jackson</t>
  </si>
  <si>
    <t>North Shelby</t>
  </si>
  <si>
    <t>016.041.6963x060</t>
  </si>
  <si>
    <t>Brent Anderson</t>
  </si>
  <si>
    <t>New Seanburgh</t>
  </si>
  <si>
    <t>Rhonda King</t>
  </si>
  <si>
    <t>Toddborough</t>
  </si>
  <si>
    <t>367-958-5492</t>
  </si>
  <si>
    <t>Jesse Brown</t>
  </si>
  <si>
    <t>Figueroaport</t>
  </si>
  <si>
    <t>001-481-425-0706x82893</t>
  </si>
  <si>
    <t>Alan Campbell</t>
  </si>
  <si>
    <t>Shawmouth</t>
  </si>
  <si>
    <t>(942)807-0793x71978</t>
  </si>
  <si>
    <t>John Martin</t>
  </si>
  <si>
    <t>New Jason</t>
  </si>
  <si>
    <t>581-174-6644x358</t>
  </si>
  <si>
    <t>Tara Bauer</t>
  </si>
  <si>
    <t>Port Dustin</t>
  </si>
  <si>
    <t>(709)935-2878</t>
  </si>
  <si>
    <t>Deanna James</t>
  </si>
  <si>
    <t>East Tinamouth</t>
  </si>
  <si>
    <t>839-100-6940x3681</t>
  </si>
  <si>
    <t>Scott Anderson</t>
  </si>
  <si>
    <t>East Teresamouth</t>
  </si>
  <si>
    <t>733.296.8887</t>
  </si>
  <si>
    <t>Ashley Rivers</t>
  </si>
  <si>
    <t>East Sharon</t>
  </si>
  <si>
    <t>+1-988-051-2193x6577</t>
  </si>
  <si>
    <t>Nicole Williams</t>
  </si>
  <si>
    <t>East Jillian</t>
  </si>
  <si>
    <t>+1-785-780-7784x633</t>
  </si>
  <si>
    <t>Calvin Lucas</t>
  </si>
  <si>
    <t>Corybury</t>
  </si>
  <si>
    <t>Veronica Coleman</t>
  </si>
  <si>
    <t>North Mario</t>
  </si>
  <si>
    <t>(096)512-5528x76619</t>
  </si>
  <si>
    <t>Vincent Matthews</t>
  </si>
  <si>
    <t>Allenmouth</t>
  </si>
  <si>
    <t>Rachel Thomas</t>
  </si>
  <si>
    <t>North Lindachester</t>
  </si>
  <si>
    <t>(417)873-5848x16786</t>
  </si>
  <si>
    <t>Kimberly Wilkins</t>
  </si>
  <si>
    <t>West Casey</t>
  </si>
  <si>
    <t>Ashley Brooks</t>
  </si>
  <si>
    <t>Ramseystad</t>
  </si>
  <si>
    <t>428.820.9314</t>
  </si>
  <si>
    <t>Nicholas Holloway</t>
  </si>
  <si>
    <t>South Kendraville</t>
  </si>
  <si>
    <t>719-821-9201</t>
  </si>
  <si>
    <t>Michael Flores</t>
  </si>
  <si>
    <t>Andrewmouth</t>
  </si>
  <si>
    <t>+1-972-682-8043x628</t>
  </si>
  <si>
    <t>Gina Payne</t>
  </si>
  <si>
    <t>Steveberg</t>
  </si>
  <si>
    <t>(960)884-6634x1029</t>
  </si>
  <si>
    <t>Tara Mcmahon</t>
  </si>
  <si>
    <t>South Anna</t>
  </si>
  <si>
    <t>283-528-8473</t>
  </si>
  <si>
    <t>Judy Griffith</t>
  </si>
  <si>
    <t>Baileyville</t>
  </si>
  <si>
    <t>+1-255-391-6382x12809</t>
  </si>
  <si>
    <t>Ronald Gonzalez</t>
  </si>
  <si>
    <t>Stevenmouth</t>
  </si>
  <si>
    <t>+1-946-378-3210x0415</t>
  </si>
  <si>
    <t>Kelly Barber</t>
  </si>
  <si>
    <t>Emilymouth</t>
  </si>
  <si>
    <t>259-420-4088x04690</t>
  </si>
  <si>
    <t>Corey Rodriguez</t>
  </si>
  <si>
    <t>New Roseville</t>
  </si>
  <si>
    <t>+1-866-544-7425x907</t>
  </si>
  <si>
    <t>Mr. Matthew Johnson DDS</t>
  </si>
  <si>
    <t>Port Stephen</t>
  </si>
  <si>
    <t>Morgan Massey</t>
  </si>
  <si>
    <t>West Amybury</t>
  </si>
  <si>
    <t>929-286-6902</t>
  </si>
  <si>
    <t>Kelsey Holloway DDS</t>
  </si>
  <si>
    <t>Ashleyborough</t>
  </si>
  <si>
    <t>(300)705-1978x78749</t>
  </si>
  <si>
    <t>Corey Lamb</t>
  </si>
  <si>
    <t>New Daniel</t>
  </si>
  <si>
    <t>882-893-9920</t>
  </si>
  <si>
    <t>Alex Rogers</t>
  </si>
  <si>
    <t>Lake Austinmouth</t>
  </si>
  <si>
    <t>Cassandra Mendoza</t>
  </si>
  <si>
    <t>Dantown</t>
  </si>
  <si>
    <t>Rebecca Goodman</t>
  </si>
  <si>
    <t>Robinsonland</t>
  </si>
  <si>
    <t>(392)221-8538x523</t>
  </si>
  <si>
    <t>Stephanie Jones</t>
  </si>
  <si>
    <t>West Aaronport</t>
  </si>
  <si>
    <t>001-029-940-1111</t>
  </si>
  <si>
    <t>David Henderson</t>
  </si>
  <si>
    <t>Hallside</t>
  </si>
  <si>
    <t>(976)946-9613</t>
  </si>
  <si>
    <t>Franklin Kelley</t>
  </si>
  <si>
    <t>East Jacob</t>
  </si>
  <si>
    <t>Joseph Bowman</t>
  </si>
  <si>
    <t>West Jessica</t>
  </si>
  <si>
    <t>001-363-434-2847x24463</t>
  </si>
  <si>
    <t>Daniel Kerr</t>
  </si>
  <si>
    <t>Fergusonton</t>
  </si>
  <si>
    <t>(548)955-9384x8406</t>
  </si>
  <si>
    <t>Samuel Hodge</t>
  </si>
  <si>
    <t>Port Maria</t>
  </si>
  <si>
    <t>302-463-7516</t>
  </si>
  <si>
    <t>Joanna Wilkins</t>
  </si>
  <si>
    <t>Singletonview</t>
  </si>
  <si>
    <t>(796)888-1488</t>
  </si>
  <si>
    <t>Tina Watkins</t>
  </si>
  <si>
    <t>Bushview</t>
  </si>
  <si>
    <t>Nathaniel Moreno</t>
  </si>
  <si>
    <t>Poolestad</t>
  </si>
  <si>
    <t>(816)818-9063x631</t>
  </si>
  <si>
    <t>Christopher Barrett</t>
  </si>
  <si>
    <t>Port Brianville</t>
  </si>
  <si>
    <t>+1-099-740-1254x66035</t>
  </si>
  <si>
    <t>David Smith</t>
  </si>
  <si>
    <t>Davidshire</t>
  </si>
  <si>
    <t>106.465.7709</t>
  </si>
  <si>
    <t>Alicia Porter</t>
  </si>
  <si>
    <t>Port Ericmouth</t>
  </si>
  <si>
    <t>001-652-614-2884x66578</t>
  </si>
  <si>
    <t>Keith Atkinson</t>
  </si>
  <si>
    <t>Lake Julia</t>
  </si>
  <si>
    <t>686-968-4161x069</t>
  </si>
  <si>
    <t>Megan Freeman</t>
  </si>
  <si>
    <t>Rogerburgh</t>
  </si>
  <si>
    <t>+1-510-274-6183x0559</t>
  </si>
  <si>
    <t>Duane Burnett</t>
  </si>
  <si>
    <t>New Derek</t>
  </si>
  <si>
    <t>001-590-114-4533x323</t>
  </si>
  <si>
    <t>Cathy Adams</t>
  </si>
  <si>
    <t>West Josephshire</t>
  </si>
  <si>
    <t>269-061-4726</t>
  </si>
  <si>
    <t>Kendra Krause</t>
  </si>
  <si>
    <t>Davisburgh</t>
  </si>
  <si>
    <t>(450)032-0502</t>
  </si>
  <si>
    <t>Lindsay Garcia</t>
  </si>
  <si>
    <t>North Kimberlyport</t>
  </si>
  <si>
    <t>Ronald Miller</t>
  </si>
  <si>
    <t>Edwardsside</t>
  </si>
  <si>
    <t>Elizabeth Dunn</t>
  </si>
  <si>
    <t>Wilsonfurt</t>
  </si>
  <si>
    <t>(069)221-0114</t>
  </si>
  <si>
    <t>Matthew Pearson</t>
  </si>
  <si>
    <t>Garciaview</t>
  </si>
  <si>
    <t>Alexis Smith</t>
  </si>
  <si>
    <t>West Vickie</t>
  </si>
  <si>
    <t>001-272-079-3939x93350</t>
  </si>
  <si>
    <t>Jason Ramos</t>
  </si>
  <si>
    <t>Carolhaven</t>
  </si>
  <si>
    <t>146.014.0992x777</t>
  </si>
  <si>
    <t>Rebecca Sanchez</t>
  </si>
  <si>
    <t>New Craig</t>
  </si>
  <si>
    <t>586-413-7361</t>
  </si>
  <si>
    <t>Kristi Wagner</t>
  </si>
  <si>
    <t>Lake Darrellburgh</t>
  </si>
  <si>
    <t>264-255-1562</t>
  </si>
  <si>
    <t>John Mitchell</t>
  </si>
  <si>
    <t>Aaronshire</t>
  </si>
  <si>
    <t>001-095-184-7835</t>
  </si>
  <si>
    <t>Victoria Lee</t>
  </si>
  <si>
    <t>New Abigail</t>
  </si>
  <si>
    <t>979-786-2359x15290</t>
  </si>
  <si>
    <t>Zachary Lewis</t>
  </si>
  <si>
    <t>Lake Kelli</t>
  </si>
  <si>
    <t>Jamie Ferguson</t>
  </si>
  <si>
    <t>Jenniferberg</t>
  </si>
  <si>
    <t>001-052-150-4048x243</t>
  </si>
  <si>
    <t>Sarah Hodges</t>
  </si>
  <si>
    <t>Martinland</t>
  </si>
  <si>
    <t>001-016-163-1445</t>
  </si>
  <si>
    <t>Angela Dunlap</t>
  </si>
  <si>
    <t>New Julian</t>
  </si>
  <si>
    <t>854.203.2129</t>
  </si>
  <si>
    <t>Adam Pittman</t>
  </si>
  <si>
    <t>West Christiantown</t>
  </si>
  <si>
    <t>455.915.1588x8706</t>
  </si>
  <si>
    <t>Felicia Wilkinson</t>
  </si>
  <si>
    <t>Williamsfort</t>
  </si>
  <si>
    <t>Walter Myers</t>
  </si>
  <si>
    <t>New Tina</t>
  </si>
  <si>
    <t>+1-285-278-8381x0454</t>
  </si>
  <si>
    <t>Derek Wilson</t>
  </si>
  <si>
    <t>Christopherland</t>
  </si>
  <si>
    <t>+1-963-859-7585x002</t>
  </si>
  <si>
    <t>David Bryant</t>
  </si>
  <si>
    <t>South Amy</t>
  </si>
  <si>
    <t>434-290-3119x1927</t>
  </si>
  <si>
    <t>Scott Grant</t>
  </si>
  <si>
    <t>Port Samantha</t>
  </si>
  <si>
    <t>001-691-849-8860x97955</t>
  </si>
  <si>
    <t>Aimee Stone</t>
  </si>
  <si>
    <t>Barnesport</t>
  </si>
  <si>
    <t>104-394-7041x83013</t>
  </si>
  <si>
    <t>Patricia White</t>
  </si>
  <si>
    <t>Lake Jessicaborough</t>
  </si>
  <si>
    <t>(434)635-4716x587</t>
  </si>
  <si>
    <t>Maria Lang</t>
  </si>
  <si>
    <t>East Moniquemouth</t>
  </si>
  <si>
    <t>(795)261-1223x445</t>
  </si>
  <si>
    <t>Autumn Reed</t>
  </si>
  <si>
    <t>East John</t>
  </si>
  <si>
    <t>Ann Mcclure</t>
  </si>
  <si>
    <t>West Johnmouth</t>
  </si>
  <si>
    <t>335.776.9231</t>
  </si>
  <si>
    <t>Sandra Townsend DVM</t>
  </si>
  <si>
    <t>West Kelly</t>
  </si>
  <si>
    <t>+1-135-886-0842x42924</t>
  </si>
  <si>
    <t>Rebecca May</t>
  </si>
  <si>
    <t>Murrayview</t>
  </si>
  <si>
    <t>(783)144-3726</t>
  </si>
  <si>
    <t>Stacy Mayo</t>
  </si>
  <si>
    <t>Bauerton</t>
  </si>
  <si>
    <t>+1-364-925-2936x855</t>
  </si>
  <si>
    <t>Randall Robbins</t>
  </si>
  <si>
    <t>Dylanton</t>
  </si>
  <si>
    <t>Steven Morton Jr.</t>
  </si>
  <si>
    <t>(884)503-7406</t>
  </si>
  <si>
    <t>Mrs. Paula Jones</t>
  </si>
  <si>
    <t>(935)377-2742x36543</t>
  </si>
  <si>
    <t>Darlene Fernandez</t>
  </si>
  <si>
    <t>Monicaton</t>
  </si>
  <si>
    <t>Mark Hartman</t>
  </si>
  <si>
    <t>East Ashleyshire</t>
  </si>
  <si>
    <t>818-015-1582</t>
  </si>
  <si>
    <t>Walter Carter</t>
  </si>
  <si>
    <t>Brianchester</t>
  </si>
  <si>
    <t>(170)734-4123x02001</t>
  </si>
  <si>
    <t>Jonathan Soto</t>
  </si>
  <si>
    <t>Autumnbury</t>
  </si>
  <si>
    <t>247-993-8111x9057</t>
  </si>
  <si>
    <t>Robin Ross</t>
  </si>
  <si>
    <t>East Williamborough</t>
  </si>
  <si>
    <t>(780)754-0093</t>
  </si>
  <si>
    <t>Michael Johnson</t>
  </si>
  <si>
    <t>Longmouth</t>
  </si>
  <si>
    <t>081.042.8712</t>
  </si>
  <si>
    <t>Scott Hunter</t>
  </si>
  <si>
    <t>074.305.5053x60975</t>
  </si>
  <si>
    <t>Austin Jones</t>
  </si>
  <si>
    <t>Brandonside</t>
  </si>
  <si>
    <t>(601)474-8397x472</t>
  </si>
  <si>
    <t>Jay Roberts</t>
  </si>
  <si>
    <t>West Christopher</t>
  </si>
  <si>
    <t>(435)815-1380x935</t>
  </si>
  <si>
    <t>Angela Wyatt</t>
  </si>
  <si>
    <t>Port Jessica</t>
  </si>
  <si>
    <t>592.913.1646x3179</t>
  </si>
  <si>
    <t>Jesse Miller</t>
  </si>
  <si>
    <t>Port Samanthamouth</t>
  </si>
  <si>
    <t>142.076.4130x9854</t>
  </si>
  <si>
    <t>Mrs. Kristin Adams DDS</t>
  </si>
  <si>
    <t>Lake Christychester</t>
  </si>
  <si>
    <t>073-764-3235</t>
  </si>
  <si>
    <t>Lisa Pitts</t>
  </si>
  <si>
    <t>Lake Stephenport</t>
  </si>
  <si>
    <t>001-709-342-3522</t>
  </si>
  <si>
    <t>Edward Cook</t>
  </si>
  <si>
    <t>Isaiahtown</t>
  </si>
  <si>
    <t>990-534-5202x158</t>
  </si>
  <si>
    <t>Beth Sanchez</t>
  </si>
  <si>
    <t>Dustinfurt</t>
  </si>
  <si>
    <t>896.737.8178x2821</t>
  </si>
  <si>
    <t>Derrick Curtis</t>
  </si>
  <si>
    <t>Stephaniechester</t>
  </si>
  <si>
    <t>140-095-1639x5596</t>
  </si>
  <si>
    <t>Travis Hughes</t>
  </si>
  <si>
    <t>Castilloland</t>
  </si>
  <si>
    <t>(905)976-6704x97813</t>
  </si>
  <si>
    <t>Jennifer Johnson</t>
  </si>
  <si>
    <t>Burnettton</t>
  </si>
  <si>
    <t>Christopher Larsen</t>
  </si>
  <si>
    <t>Susanview</t>
  </si>
  <si>
    <t>146-422-6270</t>
  </si>
  <si>
    <t>Nathan Reynolds</t>
  </si>
  <si>
    <t>Lake Tina</t>
  </si>
  <si>
    <t>Karen Brennan</t>
  </si>
  <si>
    <t>Hannahside</t>
  </si>
  <si>
    <t>Dawn Thompson</t>
  </si>
  <si>
    <t>North Josephland</t>
  </si>
  <si>
    <t>141.973.6585</t>
  </si>
  <si>
    <t>Mrs. Emily Smith DVM</t>
  </si>
  <si>
    <t>Shermantown</t>
  </si>
  <si>
    <t>(348)542-4932x868</t>
  </si>
  <si>
    <t>Randy Roach</t>
  </si>
  <si>
    <t>East Bryan</t>
  </si>
  <si>
    <t>888-534-4534</t>
  </si>
  <si>
    <t>Cynthia Horton</t>
  </si>
  <si>
    <t>Jamesstad</t>
  </si>
  <si>
    <t>535.576.5970x774</t>
  </si>
  <si>
    <t>Joseph Williams</t>
  </si>
  <si>
    <t>East Dale</t>
  </si>
  <si>
    <t>001-112-513-9413</t>
  </si>
  <si>
    <t>Pamela Santos</t>
  </si>
  <si>
    <t>Lake Michael</t>
  </si>
  <si>
    <t>865.186.5350x045</t>
  </si>
  <si>
    <t>Deanna Daniels</t>
  </si>
  <si>
    <t>Aguilarstad</t>
  </si>
  <si>
    <t>001-436-929-2288</t>
  </si>
  <si>
    <t>Robert Burke</t>
  </si>
  <si>
    <t>Marksmouth</t>
  </si>
  <si>
    <t>995.297.8023x0932</t>
  </si>
  <si>
    <t>Michael Curtis</t>
  </si>
  <si>
    <t>Alexanderbury</t>
  </si>
  <si>
    <t>+1-523-687-8881x66849</t>
  </si>
  <si>
    <t>Jeanne Benjamin</t>
  </si>
  <si>
    <t>North Alexander</t>
  </si>
  <si>
    <t>595.000.7971x3446</t>
  </si>
  <si>
    <t>Kristina Simpson</t>
  </si>
  <si>
    <t>Melissaport</t>
  </si>
  <si>
    <t>Daniel Moore</t>
  </si>
  <si>
    <t>Port Richard</t>
  </si>
  <si>
    <t>176-809-8232x828</t>
  </si>
  <si>
    <t>Joseph Davis</t>
  </si>
  <si>
    <t>Millerport</t>
  </si>
  <si>
    <t>779.802.6319x67760</t>
  </si>
  <si>
    <t>Jennifer Ayala</t>
  </si>
  <si>
    <t>Edwardshaven</t>
  </si>
  <si>
    <t>(929)015-8411x75681</t>
  </si>
  <si>
    <t>Brendan Vargas</t>
  </si>
  <si>
    <t>Kellyville</t>
  </si>
  <si>
    <t>981.660.6741x707</t>
  </si>
  <si>
    <t>Donna Williams</t>
  </si>
  <si>
    <t>Calebview</t>
  </si>
  <si>
    <t>083-313-0990x09518</t>
  </si>
  <si>
    <t>Logan Becker</t>
  </si>
  <si>
    <t>North Patriciamouth</t>
  </si>
  <si>
    <t>Robin Pena</t>
  </si>
  <si>
    <t>Cynthiashire</t>
  </si>
  <si>
    <t>691-775-8145</t>
  </si>
  <si>
    <t>Bryan Smith</t>
  </si>
  <si>
    <t>New Julia</t>
  </si>
  <si>
    <t>001-127-550-6441x5817</t>
  </si>
  <si>
    <t>Gary Adams</t>
  </si>
  <si>
    <t>New Sara</t>
  </si>
  <si>
    <t>001-323-823-4026x61837</t>
  </si>
  <si>
    <t>Tina Jackson</t>
  </si>
  <si>
    <t>Geraldchester</t>
  </si>
  <si>
    <t>103-002-5677</t>
  </si>
  <si>
    <t>Pamela Morales</t>
  </si>
  <si>
    <t>Schaeferfort</t>
  </si>
  <si>
    <t>(791)624-2530x9708</t>
  </si>
  <si>
    <t>David Marsh</t>
  </si>
  <si>
    <t>North Kimberlyfort</t>
  </si>
  <si>
    <t>(498)526-5768x31348</t>
  </si>
  <si>
    <t>Kelsey Smith</t>
  </si>
  <si>
    <t>Haleymouth</t>
  </si>
  <si>
    <t>(764)989-3036x77897</t>
  </si>
  <si>
    <t>Anthony Harris</t>
  </si>
  <si>
    <t>West Aaronberg</t>
  </si>
  <si>
    <t>811-306-2805</t>
  </si>
  <si>
    <t>Jacob Montoya</t>
  </si>
  <si>
    <t>Meganmouth</t>
  </si>
  <si>
    <t>609.858.6366x85166</t>
  </si>
  <si>
    <t>Martha Flores</t>
  </si>
  <si>
    <t>Lake Glenview</t>
  </si>
  <si>
    <t>568.426.0750</t>
  </si>
  <si>
    <t>Michael Carter</t>
  </si>
  <si>
    <t>Danielborough</t>
  </si>
  <si>
    <t>+1-149-468-9647x5327</t>
  </si>
  <si>
    <t>Donald Bender</t>
  </si>
  <si>
    <t>Andersenfort</t>
  </si>
  <si>
    <t>(262)899-6349x569</t>
  </si>
  <si>
    <t>Carmen Barker</t>
  </si>
  <si>
    <t>North Williamview</t>
  </si>
  <si>
    <t>001-151-284-3163</t>
  </si>
  <si>
    <t>Wanda Wise</t>
  </si>
  <si>
    <t>South Bethanyport</t>
  </si>
  <si>
    <t>(940)028-0493x49472</t>
  </si>
  <si>
    <t>Stephanie Mathews</t>
  </si>
  <si>
    <t>North Ashleymouth</t>
  </si>
  <si>
    <t>+1-852-242-7762x49312</t>
  </si>
  <si>
    <t>Linda Banks</t>
  </si>
  <si>
    <t>New Sarahmouth</t>
  </si>
  <si>
    <t>323-540-9403x92583</t>
  </si>
  <si>
    <t>Kristine Martin</t>
  </si>
  <si>
    <t>Thompsonhaven</t>
  </si>
  <si>
    <t>444.954.4127x16438</t>
  </si>
  <si>
    <t>Lawrence Owens</t>
  </si>
  <si>
    <t>South Amybury</t>
  </si>
  <si>
    <t>Douglas Jacobs</t>
  </si>
  <si>
    <t>East Gina</t>
  </si>
  <si>
    <t>819-072-2490x353</t>
  </si>
  <si>
    <t>Aaron Keller</t>
  </si>
  <si>
    <t>Melissaview</t>
  </si>
  <si>
    <t>799.568.0302</t>
  </si>
  <si>
    <t>Carlos Lawrence</t>
  </si>
  <si>
    <t>New Justinhaven</t>
  </si>
  <si>
    <t>272.580.3538</t>
  </si>
  <si>
    <t>Christine Patterson</t>
  </si>
  <si>
    <t>Edwardfort</t>
  </si>
  <si>
    <t>001-270-907-0981x5520</t>
  </si>
  <si>
    <t>Kimberly Hamilton</t>
  </si>
  <si>
    <t>North Bruce</t>
  </si>
  <si>
    <t>398-486-8232x9944</t>
  </si>
  <si>
    <t>Shane Stein</t>
  </si>
  <si>
    <t>Reidton</t>
  </si>
  <si>
    <t>(086)799-6277x14274</t>
  </si>
  <si>
    <t>Raymond Harris</t>
  </si>
  <si>
    <t>Hammondfort</t>
  </si>
  <si>
    <t>173.185.2783</t>
  </si>
  <si>
    <t>Gabriel Vargas</t>
  </si>
  <si>
    <t>Chaseview</t>
  </si>
  <si>
    <t>001-343-254-2598</t>
  </si>
  <si>
    <t>Gina Wu DDS</t>
  </si>
  <si>
    <t>Lake Melindaside</t>
  </si>
  <si>
    <t>(484)350-0946</t>
  </si>
  <si>
    <t>Deborah Sexton</t>
  </si>
  <si>
    <t>Victoriastad</t>
  </si>
  <si>
    <t>899-936-4720x6569</t>
  </si>
  <si>
    <t>Laura Marshall</t>
  </si>
  <si>
    <t>East Lisafurt</t>
  </si>
  <si>
    <t>+1-389-167-7916x81453</t>
  </si>
  <si>
    <t>Jennifer Schmidt</t>
  </si>
  <si>
    <t>South Michelleshire</t>
  </si>
  <si>
    <t>007-561-4094x27296</t>
  </si>
  <si>
    <t>Patrick Zimmerman</t>
  </si>
  <si>
    <t>Thomasberg</t>
  </si>
  <si>
    <t>(913)638-9318x024</t>
  </si>
  <si>
    <t>Dustin Johnson</t>
  </si>
  <si>
    <t>Gomezmouth</t>
  </si>
  <si>
    <t>001-171-995-2815x84366</t>
  </si>
  <si>
    <t>John Baxter</t>
  </si>
  <si>
    <t>New William</t>
  </si>
  <si>
    <t>894-441-9136x66913</t>
  </si>
  <si>
    <t>Anna Buckley</t>
  </si>
  <si>
    <t>Murphyfort</t>
  </si>
  <si>
    <t>421.281.9097x013</t>
  </si>
  <si>
    <t>Kristina Vargas</t>
  </si>
  <si>
    <t>Lake Rebeccaton</t>
  </si>
  <si>
    <t>364.779.6707x066</t>
  </si>
  <si>
    <t>Roberto Stanley</t>
  </si>
  <si>
    <t>Melindaview</t>
  </si>
  <si>
    <t>(273)299-4177x0763</t>
  </si>
  <si>
    <t>Barbara Velasquez</t>
  </si>
  <si>
    <t>Priceborough</t>
  </si>
  <si>
    <t>(669)247-4183</t>
  </si>
  <si>
    <t>Eric Ramos</t>
  </si>
  <si>
    <t>Rushfurt</t>
  </si>
  <si>
    <t>515.928.1587x32812</t>
  </si>
  <si>
    <t>Mr. Mark Knight DVM</t>
  </si>
  <si>
    <t>East Joseph</t>
  </si>
  <si>
    <t>757-796-7872x2411</t>
  </si>
  <si>
    <t>Michael Keller</t>
  </si>
  <si>
    <t>(000)572-1246x444</t>
  </si>
  <si>
    <t>Donna Hughes</t>
  </si>
  <si>
    <t>Maryfort</t>
  </si>
  <si>
    <t>352-520-3779x375</t>
  </si>
  <si>
    <t>Gwendolyn Johnson</t>
  </si>
  <si>
    <t>649.714.9926</t>
  </si>
  <si>
    <t>Sylvia Stanley</t>
  </si>
  <si>
    <t>Jenniferbury</t>
  </si>
  <si>
    <t>065-230-0281</t>
  </si>
  <si>
    <t>Kerry Jones</t>
  </si>
  <si>
    <t>725-779-5651</t>
  </si>
  <si>
    <t>Cody Martin</t>
  </si>
  <si>
    <t>Angelamouth</t>
  </si>
  <si>
    <t>(239)678-6580x09652</t>
  </si>
  <si>
    <t>Mrs. Stacey Morales MD</t>
  </si>
  <si>
    <t>Juliastad</t>
  </si>
  <si>
    <t>866.050.9817</t>
  </si>
  <si>
    <t>Kimberly Nelson</t>
  </si>
  <si>
    <t>Lake Lesliemouth</t>
  </si>
  <si>
    <t>(009)475-3945</t>
  </si>
  <si>
    <t>Brian Hoffman</t>
  </si>
  <si>
    <t>Lake Dillonborough</t>
  </si>
  <si>
    <t>(718)753-5421x7242</t>
  </si>
  <si>
    <t>Brian Cherry</t>
  </si>
  <si>
    <t>Swansonport</t>
  </si>
  <si>
    <t>Jacob Orozco</t>
  </si>
  <si>
    <t>West Jeffrey</t>
  </si>
  <si>
    <t>787-834-8225</t>
  </si>
  <si>
    <t>Brian Davis</t>
  </si>
  <si>
    <t>(750)646-5852</t>
  </si>
  <si>
    <t>Travis Walker</t>
  </si>
  <si>
    <t>West Dan</t>
  </si>
  <si>
    <t>(843)905-0785</t>
  </si>
  <si>
    <t>Tammy Boone</t>
  </si>
  <si>
    <t>301.713.7646x501</t>
  </si>
  <si>
    <t>Samuel Lewis</t>
  </si>
  <si>
    <t>North Nicole</t>
  </si>
  <si>
    <t>001-381-807-5033x358</t>
  </si>
  <si>
    <t>Elizabeth Collins</t>
  </si>
  <si>
    <t>Johnland</t>
  </si>
  <si>
    <t>(601)532-8275x383</t>
  </si>
  <si>
    <t>Stephanie West</t>
  </si>
  <si>
    <t>North Jamesfurt</t>
  </si>
  <si>
    <t>001-794-254-5542</t>
  </si>
  <si>
    <t>Keith Gray</t>
  </si>
  <si>
    <t>New Corey</t>
  </si>
  <si>
    <t>001-297-087-3713x91812</t>
  </si>
  <si>
    <t>Melissa Green</t>
  </si>
  <si>
    <t>South John</t>
  </si>
  <si>
    <t>621.698.0426x1205</t>
  </si>
  <si>
    <t>Tony Holmes</t>
  </si>
  <si>
    <t>Jaredport</t>
  </si>
  <si>
    <t>623.131.4040x0485</t>
  </si>
  <si>
    <t>Ricardo Roberts</t>
  </si>
  <si>
    <t>West Matthewborough</t>
  </si>
  <si>
    <t>(371)857-1738x24461</t>
  </si>
  <si>
    <t>Debra Murray</t>
  </si>
  <si>
    <t>Duncanchester</t>
  </si>
  <si>
    <t>566-832-5437</t>
  </si>
  <si>
    <t>Sherry Hall</t>
  </si>
  <si>
    <t>256-166-3623x2267</t>
  </si>
  <si>
    <t>Tara Johns</t>
  </si>
  <si>
    <t>Paulmouth</t>
  </si>
  <si>
    <t>374.171.5991x58449</t>
  </si>
  <si>
    <t>William Frederick</t>
  </si>
  <si>
    <t>Port Dean</t>
  </si>
  <si>
    <t>001-228-551-9866</t>
  </si>
  <si>
    <t>Harold Bowen</t>
  </si>
  <si>
    <t>South Barbaraburgh</t>
  </si>
  <si>
    <t>732.692.1653x04238</t>
  </si>
  <si>
    <t>Seth Esparza</t>
  </si>
  <si>
    <t>Port Brandonberg</t>
  </si>
  <si>
    <t>Ricky Walker</t>
  </si>
  <si>
    <t>Port Johnstad</t>
  </si>
  <si>
    <t>001-066-700-7862x511</t>
  </si>
  <si>
    <t>Melissa Smith</t>
  </si>
  <si>
    <t>Lake Stevenburgh</t>
  </si>
  <si>
    <t>John Reeves</t>
  </si>
  <si>
    <t>Jamieview</t>
  </si>
  <si>
    <t>+1-050-306-9244x20943</t>
  </si>
  <si>
    <t>Patrick Campbell</t>
  </si>
  <si>
    <t>Leeton</t>
  </si>
  <si>
    <t>Brandi Buckley</t>
  </si>
  <si>
    <t>Lawrencechester</t>
  </si>
  <si>
    <t>518-742-2945x12087</t>
  </si>
  <si>
    <t>Tara Graham</t>
  </si>
  <si>
    <t>Lake Cory</t>
  </si>
  <si>
    <t>617.869.7697</t>
  </si>
  <si>
    <t>Heather Silva</t>
  </si>
  <si>
    <t>Lake Ryan</t>
  </si>
  <si>
    <t>Yvette Huffman</t>
  </si>
  <si>
    <t>Reevestown</t>
  </si>
  <si>
    <t>Patricia Stevens</t>
  </si>
  <si>
    <t>Perezport</t>
  </si>
  <si>
    <t>001-628-479-0049x980</t>
  </si>
  <si>
    <t>Melissa Kennedy</t>
  </si>
  <si>
    <t>West Tina</t>
  </si>
  <si>
    <t>(129)335-4916x24644</t>
  </si>
  <si>
    <t>Anthony Guerra</t>
  </si>
  <si>
    <t>North Michelle</t>
  </si>
  <si>
    <t>102.222.7070x5313</t>
  </si>
  <si>
    <t>William Barnes</t>
  </si>
  <si>
    <t>Kellyfurt</t>
  </si>
  <si>
    <t>(257)241-0749x262</t>
  </si>
  <si>
    <t>Mary Hopkins</t>
  </si>
  <si>
    <t>Tiffanyport</t>
  </si>
  <si>
    <t>001-476-350-8465x7500</t>
  </si>
  <si>
    <t>Michael Proctor</t>
  </si>
  <si>
    <t>Lisafurt</t>
  </si>
  <si>
    <t>(119)549-4969</t>
  </si>
  <si>
    <t>Nicole Mueller</t>
  </si>
  <si>
    <t>Rachelberg</t>
  </si>
  <si>
    <t>241-269-1178</t>
  </si>
  <si>
    <t>Kelly Buchanan</t>
  </si>
  <si>
    <t>Lake Jonathanchester</t>
  </si>
  <si>
    <t>106-927-5178x0789</t>
  </si>
  <si>
    <t>Victor Crawford</t>
  </si>
  <si>
    <t>New Brandonton</t>
  </si>
  <si>
    <t>+1-389-087-5252x62752</t>
  </si>
  <si>
    <t>Regina Munoz</t>
  </si>
  <si>
    <t>Lake Clinton</t>
  </si>
  <si>
    <t>585.955.3149</t>
  </si>
  <si>
    <t>Tracy Douglas</t>
  </si>
  <si>
    <t>Gordonstad</t>
  </si>
  <si>
    <t>+1-084-522-8932x8580</t>
  </si>
  <si>
    <t>Dana Simmons</t>
  </si>
  <si>
    <t>West Jorge</t>
  </si>
  <si>
    <t>005-720-2323x75794</t>
  </si>
  <si>
    <t>Kyle Kerr</t>
  </si>
  <si>
    <t>Sarahville</t>
  </si>
  <si>
    <t>(065)853-7158x4157</t>
  </si>
  <si>
    <t>Sherryhaven</t>
  </si>
  <si>
    <t>426-870-2757x6102</t>
  </si>
  <si>
    <t>Allison Martinez</t>
  </si>
  <si>
    <t>New Amy</t>
  </si>
  <si>
    <t>(945)511-1142x655</t>
  </si>
  <si>
    <t>Mr. Robert Rivera II</t>
  </si>
  <si>
    <t>Bergerport</t>
  </si>
  <si>
    <t>+1-470-154-5478x4289</t>
  </si>
  <si>
    <t>Alex White</t>
  </si>
  <si>
    <t>Port Carmen</t>
  </si>
  <si>
    <t>(226)363-8449</t>
  </si>
  <si>
    <t>Jennifer Hughes</t>
  </si>
  <si>
    <t>West Donnaton</t>
  </si>
  <si>
    <t>001-147-430-1204x8556</t>
  </si>
  <si>
    <t>John Byrd</t>
  </si>
  <si>
    <t>West Randall</t>
  </si>
  <si>
    <t>(219)313-6702x212</t>
  </si>
  <si>
    <t>Leslie Acevedo</t>
  </si>
  <si>
    <t>Lake Matthew</t>
  </si>
  <si>
    <t>(028)737-3556x89803</t>
  </si>
  <si>
    <t>Nicholas Mosley MD</t>
  </si>
  <si>
    <t>North Manuel</t>
  </si>
  <si>
    <t>John Collins</t>
  </si>
  <si>
    <t>New Deborahville</t>
  </si>
  <si>
    <t>001-237-766-3335</t>
  </si>
  <si>
    <t>Marissa Fischer</t>
  </si>
  <si>
    <t>New Kevin</t>
  </si>
  <si>
    <t>(454)463-8142x8597</t>
  </si>
  <si>
    <t>David Evans</t>
  </si>
  <si>
    <t>Chambersmouth</t>
  </si>
  <si>
    <t>(316)221-9715</t>
  </si>
  <si>
    <t>Ashley Martinez</t>
  </si>
  <si>
    <t>Lake Crystal</t>
  </si>
  <si>
    <t>151-521-2736</t>
  </si>
  <si>
    <t>Arthur Thomas</t>
  </si>
  <si>
    <t>Clarkhaven</t>
  </si>
  <si>
    <t>001-797-615-8560x7849</t>
  </si>
  <si>
    <t>Jennifer Mccoy</t>
  </si>
  <si>
    <t>Morganville</t>
  </si>
  <si>
    <t>(430)171-1148x1808</t>
  </si>
  <si>
    <t>Matthew Simmons PhD</t>
  </si>
  <si>
    <t>Brandonhaven</t>
  </si>
  <si>
    <t>001-040-668-4559x58950</t>
  </si>
  <si>
    <t>Betty Reid</t>
  </si>
  <si>
    <t>North Abigail</t>
  </si>
  <si>
    <t>001-526-626-7117x20926</t>
  </si>
  <si>
    <t>Eric Kaiser</t>
  </si>
  <si>
    <t>West Mikayla</t>
  </si>
  <si>
    <t>001-493-969-0455x844</t>
  </si>
  <si>
    <t>David Carney</t>
  </si>
  <si>
    <t>Port Dianemouth</t>
  </si>
  <si>
    <t>001-710-732-1565x428</t>
  </si>
  <si>
    <t>Dennis Schultz</t>
  </si>
  <si>
    <t>New Natalieland</t>
  </si>
  <si>
    <t>(348)049-0216</t>
  </si>
  <si>
    <t>Dr. Matthew Hughes DDS</t>
  </si>
  <si>
    <t>Christopherchester</t>
  </si>
  <si>
    <t>+1-126-714-2290x91321</t>
  </si>
  <si>
    <t>Kevin Blair</t>
  </si>
  <si>
    <t>Lake Laurenburgh</t>
  </si>
  <si>
    <t>(887)033-5757x4595</t>
  </si>
  <si>
    <t>Ernest Cox</t>
  </si>
  <si>
    <t>Christinaland</t>
  </si>
  <si>
    <t>(061)462-4166</t>
  </si>
  <si>
    <t>Justin Santos</t>
  </si>
  <si>
    <t>Rayfurt</t>
  </si>
  <si>
    <t>953.221.6291x3146</t>
  </si>
  <si>
    <t>Miss Mary Turner</t>
  </si>
  <si>
    <t>North Holly</t>
  </si>
  <si>
    <t>899-330-2450</t>
  </si>
  <si>
    <t>Teresa Jackson</t>
  </si>
  <si>
    <t>Port Thomasstad</t>
  </si>
  <si>
    <t>001-620-115-6715x07034</t>
  </si>
  <si>
    <t>Susan Green</t>
  </si>
  <si>
    <t>Josephborough</t>
  </si>
  <si>
    <t>+1-716-778-7428x09975</t>
  </si>
  <si>
    <t>Jonathan Copeland</t>
  </si>
  <si>
    <t>Jonathanview</t>
  </si>
  <si>
    <t>836.048.1897x257</t>
  </si>
  <si>
    <t>Tina Bean</t>
  </si>
  <si>
    <t>South Tyler</t>
  </si>
  <si>
    <t>001-877-090-0264x425</t>
  </si>
  <si>
    <t>Christine Bell</t>
  </si>
  <si>
    <t>South Edwardburgh</t>
  </si>
  <si>
    <t>(172)033-3196x74489</t>
  </si>
  <si>
    <t>Pamela Harris</t>
  </si>
  <si>
    <t>Lewisfort</t>
  </si>
  <si>
    <t>320-562-3060</t>
  </si>
  <si>
    <t>Robert Chavez</t>
  </si>
  <si>
    <t>Chadport</t>
  </si>
  <si>
    <t>(886)049-9104x019</t>
  </si>
  <si>
    <t>Jose Rivas</t>
  </si>
  <si>
    <t>Rosaleschester</t>
  </si>
  <si>
    <t>001-411-455-9848x386</t>
  </si>
  <si>
    <t>Toni Johnson</t>
  </si>
  <si>
    <t>Lake Steven</t>
  </si>
  <si>
    <t>(045)229-8601</t>
  </si>
  <si>
    <t>Elizabeth Galvan</t>
  </si>
  <si>
    <t>Lake Karen</t>
  </si>
  <si>
    <t>Daniel Williams</t>
  </si>
  <si>
    <t>Russellburgh</t>
  </si>
  <si>
    <t>April Johnson</t>
  </si>
  <si>
    <t>Pagemouth</t>
  </si>
  <si>
    <t>(540)486-0312</t>
  </si>
  <si>
    <t>Mr. Gregory Thompson</t>
  </si>
  <si>
    <t>East Douglas</t>
  </si>
  <si>
    <t>725.348.5813x15130</t>
  </si>
  <si>
    <t>Julie Brown</t>
  </si>
  <si>
    <t>East Melissaport</t>
  </si>
  <si>
    <t>(544)200-6673x39918</t>
  </si>
  <si>
    <t>Michael Dunn</t>
  </si>
  <si>
    <t>Lake Kyleside</t>
  </si>
  <si>
    <t>001-263-994-2712</t>
  </si>
  <si>
    <t>Jason Alvarez</t>
  </si>
  <si>
    <t>South Connorview</t>
  </si>
  <si>
    <t>(107)164-5994</t>
  </si>
  <si>
    <t>Whitney Evans</t>
  </si>
  <si>
    <t>Martinezside</t>
  </si>
  <si>
    <t>001-355-911-9659</t>
  </si>
  <si>
    <t>Jacqueline Turner</t>
  </si>
  <si>
    <t>Robertsport</t>
  </si>
  <si>
    <t>937.841.8251</t>
  </si>
  <si>
    <t>Lindsey Lewis</t>
  </si>
  <si>
    <t>West Rogerview</t>
  </si>
  <si>
    <t>001-610-209-8312</t>
  </si>
  <si>
    <t>Jane Davis</t>
  </si>
  <si>
    <t>Lake Joshuaville</t>
  </si>
  <si>
    <t>001-480-554-8487x778</t>
  </si>
  <si>
    <t>Erika Lopez</t>
  </si>
  <si>
    <t>North Margarethaven</t>
  </si>
  <si>
    <t>117.027.1702</t>
  </si>
  <si>
    <t>Alexander Walsh</t>
  </si>
  <si>
    <t>Troyshire</t>
  </si>
  <si>
    <t>001-443-638-7858x7009</t>
  </si>
  <si>
    <t>Cynthia Johnson</t>
  </si>
  <si>
    <t>West Cherylland</t>
  </si>
  <si>
    <t>716.098.0270x507</t>
  </si>
  <si>
    <t>Natasha Harper</t>
  </si>
  <si>
    <t>Port Sara</t>
  </si>
  <si>
    <t>(474)763-3272x81635</t>
  </si>
  <si>
    <t>Brittany Anderson</t>
  </si>
  <si>
    <t>Port Michaelmouth</t>
  </si>
  <si>
    <t>610-921-4134x12104</t>
  </si>
  <si>
    <t>Michael Simmons</t>
  </si>
  <si>
    <t>Coreymouth</t>
  </si>
  <si>
    <t>427-237-3480x5364</t>
  </si>
  <si>
    <t>Christopher Williams</t>
  </si>
  <si>
    <t>North Kathryn</t>
  </si>
  <si>
    <t>(304)550-4023x26262</t>
  </si>
  <si>
    <t>Eric Mays</t>
  </si>
  <si>
    <t>Port Deborahbury</t>
  </si>
  <si>
    <t>555-698-7496x465</t>
  </si>
  <si>
    <t>Erika West</t>
  </si>
  <si>
    <t>Mikemouth</t>
  </si>
  <si>
    <t>409.663.4270x89860</t>
  </si>
  <si>
    <t>Nicholas Harrison</t>
  </si>
  <si>
    <t>New Timothymouth</t>
  </si>
  <si>
    <t>Mrs. Valerie Hartman</t>
  </si>
  <si>
    <t>Port Jenniferborough</t>
  </si>
  <si>
    <t>Russell Smith</t>
  </si>
  <si>
    <t>New Rebecca</t>
  </si>
  <si>
    <t>+1-581-575-6141x390</t>
  </si>
  <si>
    <t>Marcus Gregory</t>
  </si>
  <si>
    <t>Hollyside</t>
  </si>
  <si>
    <t>(452)490-4054x2105</t>
  </si>
  <si>
    <t>Tina Banks</t>
  </si>
  <si>
    <t>Port Judith</t>
  </si>
  <si>
    <t>986-535-7620</t>
  </si>
  <si>
    <t>Kristen Alvarado</t>
  </si>
  <si>
    <t>Davidport</t>
  </si>
  <si>
    <t>001-965-776-9092x06414</t>
  </si>
  <si>
    <t>Steven Griffin</t>
  </si>
  <si>
    <t>Cruzborough</t>
  </si>
  <si>
    <t>511.595.0189</t>
  </si>
  <si>
    <t>Jennifer Kennedy</t>
  </si>
  <si>
    <t>Port Deborah</t>
  </si>
  <si>
    <t>Rodney Perkins</t>
  </si>
  <si>
    <t>Lake Christina</t>
  </si>
  <si>
    <t>Ryan Cole</t>
  </si>
  <si>
    <t>Sandratown</t>
  </si>
  <si>
    <t>001-477-548-6956x3901</t>
  </si>
  <si>
    <t>Michael Vargas</t>
  </si>
  <si>
    <t>East Andrewhaven</t>
  </si>
  <si>
    <t>(932)466-1933x7047</t>
  </si>
  <si>
    <t>Brandon Riley</t>
  </si>
  <si>
    <t>Powerston</t>
  </si>
  <si>
    <t>742-364-6134</t>
  </si>
  <si>
    <t>Karen Stafford</t>
  </si>
  <si>
    <t>West Justinberg</t>
  </si>
  <si>
    <t>(040)774-3704</t>
  </si>
  <si>
    <t>Tonya Lewis</t>
  </si>
  <si>
    <t>Edwardport</t>
  </si>
  <si>
    <t>Timothy Martin</t>
  </si>
  <si>
    <t>Lake Adriennechester</t>
  </si>
  <si>
    <t>Frank Jackson</t>
  </si>
  <si>
    <t>North Jeffreychester</t>
  </si>
  <si>
    <t>441.504.6385x08595</t>
  </si>
  <si>
    <t>Richard Parsons</t>
  </si>
  <si>
    <t>Bushbury</t>
  </si>
  <si>
    <t>+1-781-993-1106x42127</t>
  </si>
  <si>
    <t>Makayla Davis</t>
  </si>
  <si>
    <t>Chrisport</t>
  </si>
  <si>
    <t>282.929.9573</t>
  </si>
  <si>
    <t>Christine Ashley</t>
  </si>
  <si>
    <t>South William</t>
  </si>
  <si>
    <t>(067)618-4352x8380</t>
  </si>
  <si>
    <t>Nathan Gonzales</t>
  </si>
  <si>
    <t>East Daniel</t>
  </si>
  <si>
    <t>543.908.4807x329</t>
  </si>
  <si>
    <t>David Castro</t>
  </si>
  <si>
    <t>Heatherhaven</t>
  </si>
  <si>
    <t>701.529.8611x3352</t>
  </si>
  <si>
    <t>Steven Martinez</t>
  </si>
  <si>
    <t>Johnsonberg</t>
  </si>
  <si>
    <t>(772)398-6224</t>
  </si>
  <si>
    <t>Edwin Osborne</t>
  </si>
  <si>
    <t>North Robinville</t>
  </si>
  <si>
    <t>160-605-7945</t>
  </si>
  <si>
    <t>David Fuentes</t>
  </si>
  <si>
    <t>North Kimberlyland</t>
  </si>
  <si>
    <t>767.966.0659x378</t>
  </si>
  <si>
    <t>Brian Hill</t>
  </si>
  <si>
    <t>Port Dominique</t>
  </si>
  <si>
    <t>001-468-666-0994x3200</t>
  </si>
  <si>
    <t>Justin Powell</t>
  </si>
  <si>
    <t>Port Sarah</t>
  </si>
  <si>
    <t>001-823-112-3947x46965</t>
  </si>
  <si>
    <t>Christine Lawrence</t>
  </si>
  <si>
    <t>Bobbyfort</t>
  </si>
  <si>
    <t>(936)378-6017</t>
  </si>
  <si>
    <t>Kim Gamble</t>
  </si>
  <si>
    <t>East Ginafort</t>
  </si>
  <si>
    <t>(076)275-8691</t>
  </si>
  <si>
    <t>Jennifer Baker</t>
  </si>
  <si>
    <t>Castilloshire</t>
  </si>
  <si>
    <t>+1-340-509-3899x3380</t>
  </si>
  <si>
    <t>Jorge Young</t>
  </si>
  <si>
    <t>208.678.3432</t>
  </si>
  <si>
    <t>Benjamin Wilson</t>
  </si>
  <si>
    <t>West Aliciaburgh</t>
  </si>
  <si>
    <t>(522)862-6624</t>
  </si>
  <si>
    <t>Karen Reeves MD</t>
  </si>
  <si>
    <t>Lake Mitchellbury</t>
  </si>
  <si>
    <t>365-174-3809</t>
  </si>
  <si>
    <t>Michael Roberson</t>
  </si>
  <si>
    <t>South Davidstad</t>
  </si>
  <si>
    <t>821.945.1712x4447</t>
  </si>
  <si>
    <t>New Michaelport</t>
  </si>
  <si>
    <t>001-137-622-5038x219</t>
  </si>
  <si>
    <t>Timothy Garrett</t>
  </si>
  <si>
    <t>Andersonview</t>
  </si>
  <si>
    <t>Emily Sandoval</t>
  </si>
  <si>
    <t>Port Gregory</t>
  </si>
  <si>
    <t>076-207-0611</t>
  </si>
  <si>
    <t>Mary Harrington</t>
  </si>
  <si>
    <t>Port Jason</t>
  </si>
  <si>
    <t>(773)159-6013x005</t>
  </si>
  <si>
    <t>Debbie Cox</t>
  </si>
  <si>
    <t>001-858-989-1478x60960</t>
  </si>
  <si>
    <t>Ronald Brown</t>
  </si>
  <si>
    <t>New Dustin</t>
  </si>
  <si>
    <t>(768)201-4672</t>
  </si>
  <si>
    <t>Micheal Peterson</t>
  </si>
  <si>
    <t>West Jeffreyfurt</t>
  </si>
  <si>
    <t>094.330.4095</t>
  </si>
  <si>
    <t>Patrick Jenkins</t>
  </si>
  <si>
    <t>West Richard</t>
  </si>
  <si>
    <t>(117)098-8608x39905</t>
  </si>
  <si>
    <t>Erin Foster</t>
  </si>
  <si>
    <t>Jessicatown</t>
  </si>
  <si>
    <t>104-981-9543x8798</t>
  </si>
  <si>
    <t>Tiffany Smith</t>
  </si>
  <si>
    <t>Port Brandon</t>
  </si>
  <si>
    <t>150.954.1064x502</t>
  </si>
  <si>
    <t>Molly Edwards</t>
  </si>
  <si>
    <t>Rodriguezborough</t>
  </si>
  <si>
    <t>Julie Lewis</t>
  </si>
  <si>
    <t>South Steven</t>
  </si>
  <si>
    <t>(557)352-3497x4606</t>
  </si>
  <si>
    <t>Chelsea Powell</t>
  </si>
  <si>
    <t>Lake Rachelburgh</t>
  </si>
  <si>
    <t>001-527-059-4168x72504</t>
  </si>
  <si>
    <t>Timothy Chavez</t>
  </si>
  <si>
    <t>Brooksmouth</t>
  </si>
  <si>
    <t>(939)046-4362x26066</t>
  </si>
  <si>
    <t>Andrea Meyer</t>
  </si>
  <si>
    <t>Christophertown</t>
  </si>
  <si>
    <t>001-579-575-4238x796</t>
  </si>
  <si>
    <t>Kristina Park</t>
  </si>
  <si>
    <t>Langburgh</t>
  </si>
  <si>
    <t>001-608-542-0101</t>
  </si>
  <si>
    <t>Miss Jamie Gonzalez DDS</t>
  </si>
  <si>
    <t>Proctorville</t>
  </si>
  <si>
    <t>(011)132-1619x1390</t>
  </si>
  <si>
    <t>Dennis Ford</t>
  </si>
  <si>
    <t>Port Derekland</t>
  </si>
  <si>
    <t>560-838-8104</t>
  </si>
  <si>
    <t>Ricky Harmon</t>
  </si>
  <si>
    <t>Port Chaseport</t>
  </si>
  <si>
    <t>817.399.8610x569</t>
  </si>
  <si>
    <t>Richard Patterson</t>
  </si>
  <si>
    <t>Huynhmouth</t>
  </si>
  <si>
    <t>William Davila</t>
  </si>
  <si>
    <t>Gilbertborough</t>
  </si>
  <si>
    <t>632-044-8155</t>
  </si>
  <si>
    <t>Carly Austin</t>
  </si>
  <si>
    <t>Connerland</t>
  </si>
  <si>
    <t>588.696.9694x7636</t>
  </si>
  <si>
    <t>Eileen Scott</t>
  </si>
  <si>
    <t>Lewismouth</t>
  </si>
  <si>
    <t>(834)331-4178x57771</t>
  </si>
  <si>
    <t>Michael Williams</t>
  </si>
  <si>
    <t>Matthewhaven</t>
  </si>
  <si>
    <t>001-511-204-6271</t>
  </si>
  <si>
    <t>Alexandra Owens</t>
  </si>
  <si>
    <t>Bradleyland</t>
  </si>
  <si>
    <t>927.996.1259</t>
  </si>
  <si>
    <t>Mrs. Kim Blackwell</t>
  </si>
  <si>
    <t>Port Margaretport</t>
  </si>
  <si>
    <t>(978)017-2536</t>
  </si>
  <si>
    <t>Destiny Maldonado</t>
  </si>
  <si>
    <t>Carlosfurt</t>
  </si>
  <si>
    <t>264-754-6432x2877</t>
  </si>
  <si>
    <t>Kimberly Wilson</t>
  </si>
  <si>
    <t>Susanville</t>
  </si>
  <si>
    <t>Drew Edwards</t>
  </si>
  <si>
    <t>Huffmouth</t>
  </si>
  <si>
    <t>+1-910-217-0650x58040</t>
  </si>
  <si>
    <t>Jeremy Christensen</t>
  </si>
  <si>
    <t>678-777-3829</t>
  </si>
  <si>
    <t>Kimberly Cox</t>
  </si>
  <si>
    <t>Lake Gloria</t>
  </si>
  <si>
    <t>628-904-6503</t>
  </si>
  <si>
    <t>Anne Stone</t>
  </si>
  <si>
    <t>Pittsville</t>
  </si>
  <si>
    <t>(468)482-9531x7575</t>
  </si>
  <si>
    <t>Dr. Ryan Gilbert</t>
  </si>
  <si>
    <t>Sarahaven</t>
  </si>
  <si>
    <t>527.386.4611x5297</t>
  </si>
  <si>
    <t>Ashley Bell</t>
  </si>
  <si>
    <t>Olsonland</t>
  </si>
  <si>
    <t>+1-733-905-4924x97502</t>
  </si>
  <si>
    <t>Misty Downs</t>
  </si>
  <si>
    <t>Robertview</t>
  </si>
  <si>
    <t>064.359.6470</t>
  </si>
  <si>
    <t>Gary Myers</t>
  </si>
  <si>
    <t>Turnerhaven</t>
  </si>
  <si>
    <t>001-669-919-8102</t>
  </si>
  <si>
    <t>Taylor Wolfe</t>
  </si>
  <si>
    <t>New Travisland</t>
  </si>
  <si>
    <t>516.367.4140</t>
  </si>
  <si>
    <t>Katrina Smith</t>
  </si>
  <si>
    <t>Stephanieberg</t>
  </si>
  <si>
    <t>577.112.9949x6527</t>
  </si>
  <si>
    <t>Elizabeth Salazar</t>
  </si>
  <si>
    <t>Paynestad</t>
  </si>
  <si>
    <t>(655)147-4123x411</t>
  </si>
  <si>
    <t>Alexandra Jones</t>
  </si>
  <si>
    <t>Lisaborough</t>
  </si>
  <si>
    <t>925.839.2741</t>
  </si>
  <si>
    <t>David Robinson</t>
  </si>
  <si>
    <t>Carolinebury</t>
  </si>
  <si>
    <t>Veronica Robinson</t>
  </si>
  <si>
    <t>East Cynthiahaven</t>
  </si>
  <si>
    <t>(108)881-7279</t>
  </si>
  <si>
    <t>William Fox</t>
  </si>
  <si>
    <t>Port Angelafurt</t>
  </si>
  <si>
    <t>228-002-6281</t>
  </si>
  <si>
    <t>Tiffany Rodriguez</t>
  </si>
  <si>
    <t>Ramirezhaven</t>
  </si>
  <si>
    <t>+1-976-624-2718x90881</t>
  </si>
  <si>
    <t>Michael Dixon</t>
  </si>
  <si>
    <t>Rebeccaview</t>
  </si>
  <si>
    <t>579.632.5450x933</t>
  </si>
  <si>
    <t>Brian Morales</t>
  </si>
  <si>
    <t>Darinland</t>
  </si>
  <si>
    <t>409-939-7232x9674</t>
  </si>
  <si>
    <t>Kelli Fuentes</t>
  </si>
  <si>
    <t>East Peter</t>
  </si>
  <si>
    <t>001-579-200-2768x448</t>
  </si>
  <si>
    <t>Alexander Dean</t>
  </si>
  <si>
    <t>New Robert</t>
  </si>
  <si>
    <t>+1-291-500-3349x3774</t>
  </si>
  <si>
    <t>Amy Perez</t>
  </si>
  <si>
    <t>West Jacquelineland</t>
  </si>
  <si>
    <t>001-692-634-3701x202</t>
  </si>
  <si>
    <t>Lindsay Yates</t>
  </si>
  <si>
    <t>Diazshire</t>
  </si>
  <si>
    <t>+1-988-586-7568x1040</t>
  </si>
  <si>
    <t>Alexandra Rogers</t>
  </si>
  <si>
    <t>Paulaburgh</t>
  </si>
  <si>
    <t>911-326-3274x85954</t>
  </si>
  <si>
    <t>David Sellers DVM</t>
  </si>
  <si>
    <t>South Michaelfurt</t>
  </si>
  <si>
    <t>492.321.3443</t>
  </si>
  <si>
    <t>Joseph Knapp</t>
  </si>
  <si>
    <t>New Michael</t>
  </si>
  <si>
    <t>117.096.9114</t>
  </si>
  <si>
    <t>Megan Miller</t>
  </si>
  <si>
    <t>Anthonyport</t>
  </si>
  <si>
    <t>252.665.5472</t>
  </si>
  <si>
    <t>Jane Avila</t>
  </si>
  <si>
    <t>Christinahaven</t>
  </si>
  <si>
    <t>Margaret Lloyd</t>
  </si>
  <si>
    <t>Phillipston</t>
  </si>
  <si>
    <t>+1-551-266-7292x92504</t>
  </si>
  <si>
    <t>Earl Eaton</t>
  </si>
  <si>
    <t>Port Michaelport</t>
  </si>
  <si>
    <t>Ronald Norton</t>
  </si>
  <si>
    <t>Carterton</t>
  </si>
  <si>
    <t>+1-311-060-5846x0735</t>
  </si>
  <si>
    <t>Jessica Lee</t>
  </si>
  <si>
    <t>Vasquezberg</t>
  </si>
  <si>
    <t>129.597.1071</t>
  </si>
  <si>
    <t>Cristina Curtis</t>
  </si>
  <si>
    <t>East Davidbury</t>
  </si>
  <si>
    <t>504-722-0994</t>
  </si>
  <si>
    <t>Amy Brown</t>
  </si>
  <si>
    <t>Shelbyland</t>
  </si>
  <si>
    <t>752.956.3208x04024</t>
  </si>
  <si>
    <t>Savannah Neal</t>
  </si>
  <si>
    <t>Ashleeside</t>
  </si>
  <si>
    <t>(750)257-4736x9555</t>
  </si>
  <si>
    <t>Brenda Green</t>
  </si>
  <si>
    <t>Jacobmouth</t>
  </si>
  <si>
    <t>001-344-515-4579x388</t>
  </si>
  <si>
    <t>Matthew Wright</t>
  </si>
  <si>
    <t>Port Traci</t>
  </si>
  <si>
    <t>001-782-074-4708</t>
  </si>
  <si>
    <t>Peter Allen</t>
  </si>
  <si>
    <t>Port Kristinechester</t>
  </si>
  <si>
    <t>Meagan Hughes</t>
  </si>
  <si>
    <t>Lake Lance</t>
  </si>
  <si>
    <t>(109)364-9434</t>
  </si>
  <si>
    <t>James Kennedy</t>
  </si>
  <si>
    <t>South Donaldshire</t>
  </si>
  <si>
    <t>543.901.8742x48816</t>
  </si>
  <si>
    <t>Gary Andrews</t>
  </si>
  <si>
    <t>Gonzalezstad</t>
  </si>
  <si>
    <t>Trevor Lam</t>
  </si>
  <si>
    <t>New Alexismouth</t>
  </si>
  <si>
    <t>726-277-0665</t>
  </si>
  <si>
    <t>Shawn Gibson</t>
  </si>
  <si>
    <t>South Eric</t>
  </si>
  <si>
    <t>001-268-793-0427x33000</t>
  </si>
  <si>
    <t>Kyle Vega</t>
  </si>
  <si>
    <t>West Alexandra</t>
  </si>
  <si>
    <t>Jeremiah Jones</t>
  </si>
  <si>
    <t>Shaneport</t>
  </si>
  <si>
    <t>322.311.4182</t>
  </si>
  <si>
    <t>Scott Proctor</t>
  </si>
  <si>
    <t>Adamland</t>
  </si>
  <si>
    <t>(998)282-2315x7499</t>
  </si>
  <si>
    <t>Margaret Mccullough</t>
  </si>
  <si>
    <t>Ortizmouth</t>
  </si>
  <si>
    <t>888-890-3956</t>
  </si>
  <si>
    <t>Mary Lewis</t>
  </si>
  <si>
    <t>James Wolfe</t>
  </si>
  <si>
    <t>Woodsfurt</t>
  </si>
  <si>
    <t>(337)791-7990x5443</t>
  </si>
  <si>
    <t>Andrea Mcdaniel</t>
  </si>
  <si>
    <t>Kingville</t>
  </si>
  <si>
    <t>(938)395-0602x60948</t>
  </si>
  <si>
    <t>Samantha Salinas</t>
  </si>
  <si>
    <t>Rayberg</t>
  </si>
  <si>
    <t>001-301-396-8153x96235</t>
  </si>
  <si>
    <t>Randy Martinez</t>
  </si>
  <si>
    <t>Brownville</t>
  </si>
  <si>
    <t>001-788-451-1379x961</t>
  </si>
  <si>
    <t>Matthew Mendez</t>
  </si>
  <si>
    <t>South Meganland</t>
  </si>
  <si>
    <t>+1-406-192-3141x20799</t>
  </si>
  <si>
    <t>Andrea Morris</t>
  </si>
  <si>
    <t>Hallton</t>
  </si>
  <si>
    <t>(151)391-8350x82191</t>
  </si>
  <si>
    <t>Antonio Murphy</t>
  </si>
  <si>
    <t>West Kevin</t>
  </si>
  <si>
    <t>+1-177-564-0300x9110</t>
  </si>
  <si>
    <t>Brandon Johnson</t>
  </si>
  <si>
    <t>Randyville</t>
  </si>
  <si>
    <t>150.160.9543x250</t>
  </si>
  <si>
    <t>Justin Smith</t>
  </si>
  <si>
    <t>Pottertown</t>
  </si>
  <si>
    <t>Brian Blankenship</t>
  </si>
  <si>
    <t>East Jordanborough</t>
  </si>
  <si>
    <t>+1-450-291-6223x9898</t>
  </si>
  <si>
    <t>Michael Lewis</t>
  </si>
  <si>
    <t>East Kimberlymouth</t>
  </si>
  <si>
    <t>072-078-1249x988</t>
  </si>
  <si>
    <t>Peggy Knight</t>
  </si>
  <si>
    <t>North Michaelville</t>
  </si>
  <si>
    <t>293-241-7469x5110</t>
  </si>
  <si>
    <t>Melissa Mclaughlin</t>
  </si>
  <si>
    <t>Roberttown</t>
  </si>
  <si>
    <t>671-908-7777x08364</t>
  </si>
  <si>
    <t>Danny Randolph</t>
  </si>
  <si>
    <t>South Yolanda</t>
  </si>
  <si>
    <t>029.011.8582</t>
  </si>
  <si>
    <t>Anthony Cochran</t>
  </si>
  <si>
    <t>Port Todd</t>
  </si>
  <si>
    <t>+1-960-253-0828x4007</t>
  </si>
  <si>
    <t>Lydia Phillips</t>
  </si>
  <si>
    <t>North Hollyland</t>
  </si>
  <si>
    <t>(704)162-2429</t>
  </si>
  <si>
    <t>Diana Blair</t>
  </si>
  <si>
    <t>Murrayside</t>
  </si>
  <si>
    <t>001-632-774-3398x50003</t>
  </si>
  <si>
    <t>William Clark</t>
  </si>
  <si>
    <t>Port Courtneyland</t>
  </si>
  <si>
    <t>Mr. William Hunt</t>
  </si>
  <si>
    <t>Barreratown</t>
  </si>
  <si>
    <t>564.854.6978x7462</t>
  </si>
  <si>
    <t>Jennifer Davila</t>
  </si>
  <si>
    <t>Hollandburgh</t>
  </si>
  <si>
    <t>+1-401-371-8447x5866</t>
  </si>
  <si>
    <t>Justin Lopez</t>
  </si>
  <si>
    <t>East Stephenton</t>
  </si>
  <si>
    <t>(526)153-8449x436</t>
  </si>
  <si>
    <t>Thomas Burch</t>
  </si>
  <si>
    <t>Larry Bradshaw</t>
  </si>
  <si>
    <t>Lake Cody</t>
  </si>
  <si>
    <t>001-843-597-3151</t>
  </si>
  <si>
    <t>Nancy Guerrero</t>
  </si>
  <si>
    <t>South Elizabeth</t>
  </si>
  <si>
    <t>(891)381-7696</t>
  </si>
  <si>
    <t>Yesenia Solomon</t>
  </si>
  <si>
    <t>Port Paulaton</t>
  </si>
  <si>
    <t>April Mcintosh</t>
  </si>
  <si>
    <t>North Sherribury</t>
  </si>
  <si>
    <t>925-387-5931x9388</t>
  </si>
  <si>
    <t>Douglas Cook</t>
  </si>
  <si>
    <t>Hunterbury</t>
  </si>
  <si>
    <t>872.454.8537</t>
  </si>
  <si>
    <t>Sean Henderson</t>
  </si>
  <si>
    <t>Lake Gregory</t>
  </si>
  <si>
    <t>553.326.4934x118</t>
  </si>
  <si>
    <t>Austin Vance</t>
  </si>
  <si>
    <t>Whiteside</t>
  </si>
  <si>
    <t>(074)087-1962x83029</t>
  </si>
  <si>
    <t>Mark Lewis</t>
  </si>
  <si>
    <t>Lisaview</t>
  </si>
  <si>
    <t>+1-894-554-0220x5777</t>
  </si>
  <si>
    <t>Amy Barker</t>
  </si>
  <si>
    <t>North Nathanville</t>
  </si>
  <si>
    <t>001-806-821-3010x5044</t>
  </si>
  <si>
    <t>Jennifer Clark</t>
  </si>
  <si>
    <t>+1-862-196-7109x9671</t>
  </si>
  <si>
    <t>Laurie Alvarez</t>
  </si>
  <si>
    <t>North Raymond</t>
  </si>
  <si>
    <t>(463)392-9887x42698</t>
  </si>
  <si>
    <t>727.771.3700</t>
  </si>
  <si>
    <t>Terry Fernandez</t>
  </si>
  <si>
    <t>Mooreburgh</t>
  </si>
  <si>
    <t>506.052.7523x43392</t>
  </si>
  <si>
    <t>Susan Clark</t>
  </si>
  <si>
    <t>Beckville</t>
  </si>
  <si>
    <t>(020)435-7439</t>
  </si>
  <si>
    <t>Michael Pennington</t>
  </si>
  <si>
    <t>South Gabrielmouth</t>
  </si>
  <si>
    <t>(905)420-9084</t>
  </si>
  <si>
    <t>Douglas Mann MD</t>
  </si>
  <si>
    <t>North Lisaburgh</t>
  </si>
  <si>
    <t>Sheri Johnson</t>
  </si>
  <si>
    <t>North Christopher</t>
  </si>
  <si>
    <t>253.920.0751</t>
  </si>
  <si>
    <t>Courtney Whitney</t>
  </si>
  <si>
    <t>West Mariashire</t>
  </si>
  <si>
    <t>001-528-446-7897</t>
  </si>
  <si>
    <t>Natalie Navarro</t>
  </si>
  <si>
    <t>West Carrieberg</t>
  </si>
  <si>
    <t>001-433-742-6627x972</t>
  </si>
  <si>
    <t>Willie Nichols</t>
  </si>
  <si>
    <t>Jonesland</t>
  </si>
  <si>
    <t>001-117-609-7351x313</t>
  </si>
  <si>
    <t>Alexa Guerra</t>
  </si>
  <si>
    <t>Ariasbury</t>
  </si>
  <si>
    <t>Christopher Davis</t>
  </si>
  <si>
    <t>South Yvettestad</t>
  </si>
  <si>
    <t>+1-496-952-5072x2056</t>
  </si>
  <si>
    <t>Bruce Alexander</t>
  </si>
  <si>
    <t>New Tammyhaven</t>
  </si>
  <si>
    <t>376.501.2938</t>
  </si>
  <si>
    <t>Peter Gonzalez</t>
  </si>
  <si>
    <t>Biancaton</t>
  </si>
  <si>
    <t>(112)578-4601x9811</t>
  </si>
  <si>
    <t>Paul Carter</t>
  </si>
  <si>
    <t>Kinghaven</t>
  </si>
  <si>
    <t>(108)002-5301x83445</t>
  </si>
  <si>
    <t>Christina Caldwell</t>
  </si>
  <si>
    <t>New Christopherburgh</t>
  </si>
  <si>
    <t>(457)874-5807x7325</t>
  </si>
  <si>
    <t>Ashley Hall</t>
  </si>
  <si>
    <t>Butlerborough</t>
  </si>
  <si>
    <t>Tara Johnson</t>
  </si>
  <si>
    <t>East Nathan</t>
  </si>
  <si>
    <t>Jenna Bowen</t>
  </si>
  <si>
    <t>Nicoleside</t>
  </si>
  <si>
    <t>(682)183-9790x650</t>
  </si>
  <si>
    <t>Sean Wolf</t>
  </si>
  <si>
    <t>Mcfarlandhaven</t>
  </si>
  <si>
    <t>(490)913-7034x400</t>
  </si>
  <si>
    <t>Oscar Bauer</t>
  </si>
  <si>
    <t>South Nicoleberg</t>
  </si>
  <si>
    <t>001-874-507-6783</t>
  </si>
  <si>
    <t>Brian Riddle</t>
  </si>
  <si>
    <t>Jimmy Morton</t>
  </si>
  <si>
    <t>New Carrie</t>
  </si>
  <si>
    <t>001-721-348-0570x6158</t>
  </si>
  <si>
    <t>Jeff Rivas</t>
  </si>
  <si>
    <t>Mcdanielmouth</t>
  </si>
  <si>
    <t>675.065.4290x4573</t>
  </si>
  <si>
    <t>Meredith Griffin</t>
  </si>
  <si>
    <t>Patriciamouth</t>
  </si>
  <si>
    <t>(330)818-7400</t>
  </si>
  <si>
    <t>Renee Campbell</t>
  </si>
  <si>
    <t>North Tiffanyfort</t>
  </si>
  <si>
    <t>199.375.0653x151</t>
  </si>
  <si>
    <t>Peggy Parker</t>
  </si>
  <si>
    <t>South Waynefurt</t>
  </si>
  <si>
    <t>(643)518-3066</t>
  </si>
  <si>
    <t>Rachel Carson</t>
  </si>
  <si>
    <t>Robertside</t>
  </si>
  <si>
    <t>001-910-852-2109x575</t>
  </si>
  <si>
    <t>Christopher Wright</t>
  </si>
  <si>
    <t>New Kellytown</t>
  </si>
  <si>
    <t>+1-631-074-8622x827</t>
  </si>
  <si>
    <t>Justin Lee</t>
  </si>
  <si>
    <t>Shelleyburgh</t>
  </si>
  <si>
    <t>199.646.5303x65771</t>
  </si>
  <si>
    <t>Samuel Mendez</t>
  </si>
  <si>
    <t>Andersonland</t>
  </si>
  <si>
    <t>(064)431-0381</t>
  </si>
  <si>
    <t>Taylor Estrada</t>
  </si>
  <si>
    <t>Nguyenview</t>
  </si>
  <si>
    <t>001-351-556-5960x359</t>
  </si>
  <si>
    <t>Cassandra Foster</t>
  </si>
  <si>
    <t>West Danielview</t>
  </si>
  <si>
    <t>(283)047-5421x9049</t>
  </si>
  <si>
    <t>David Jordan</t>
  </si>
  <si>
    <t>Mendozabury</t>
  </si>
  <si>
    <t>(705)816-8331x096</t>
  </si>
  <si>
    <t>Gary Torres</t>
  </si>
  <si>
    <t>Kimberlyview</t>
  </si>
  <si>
    <t>(816)141-2613x8114</t>
  </si>
  <si>
    <t>Phillip Rogers</t>
  </si>
  <si>
    <t>Keithstad</t>
  </si>
  <si>
    <t>626.554.6466x12045</t>
  </si>
  <si>
    <t>Alvin Day Jr.</t>
  </si>
  <si>
    <t>East Heatherbury</t>
  </si>
  <si>
    <t>722.127.8600</t>
  </si>
  <si>
    <t>Paul Lee</t>
  </si>
  <si>
    <t>Stephenchester</t>
  </si>
  <si>
    <t>+1-874-157-5024x3157</t>
  </si>
  <si>
    <t>Theresa Gonzalez</t>
  </si>
  <si>
    <t>Port David</t>
  </si>
  <si>
    <t>050.568.6038x358</t>
  </si>
  <si>
    <t>Beth Chavez</t>
  </si>
  <si>
    <t>East Nicole</t>
  </si>
  <si>
    <t>+1-249-991-1004x0285</t>
  </si>
  <si>
    <t>James Gardner</t>
  </si>
  <si>
    <t>Morenoborough</t>
  </si>
  <si>
    <t>405.211.3183x136</t>
  </si>
  <si>
    <t>Andrea Hansen</t>
  </si>
  <si>
    <t>407.525.5651x8151</t>
  </si>
  <si>
    <t>Sarah Ochoa</t>
  </si>
  <si>
    <t>Vancebury</t>
  </si>
  <si>
    <t>Diana Fisher</t>
  </si>
  <si>
    <t>New Daryl</t>
  </si>
  <si>
    <t>974.391.4500x152</t>
  </si>
  <si>
    <t>Austin Smith</t>
  </si>
  <si>
    <t>North Marcusbury</t>
  </si>
  <si>
    <t>219-381-8831x93973</t>
  </si>
  <si>
    <t>Jay Higgins</t>
  </si>
  <si>
    <t>Perezhaven</t>
  </si>
  <si>
    <t>880.990.8313</t>
  </si>
  <si>
    <t>Jessica Watkins</t>
  </si>
  <si>
    <t>Robertton</t>
  </si>
  <si>
    <t>368.959.4075x9286</t>
  </si>
  <si>
    <t>Lisa Marshall</t>
  </si>
  <si>
    <t>Johnville</t>
  </si>
  <si>
    <t>375.423.1187</t>
  </si>
  <si>
    <t>Devon Burton</t>
  </si>
  <si>
    <t>Blakehaven</t>
  </si>
  <si>
    <t>907.108.9325x817</t>
  </si>
  <si>
    <t>Benjamin Soto</t>
  </si>
  <si>
    <t>West Garretthaven</t>
  </si>
  <si>
    <t>Timothy Browning</t>
  </si>
  <si>
    <t>Moralesfort</t>
  </si>
  <si>
    <t>001-836-247-3024</t>
  </si>
  <si>
    <t>Jeffrey Vaughan</t>
  </si>
  <si>
    <t>Cameronfurt</t>
  </si>
  <si>
    <t>129-365-7408x619</t>
  </si>
  <si>
    <t>Joseph Smith</t>
  </si>
  <si>
    <t>Anthonystad</t>
  </si>
  <si>
    <t>716-698-3766x7391</t>
  </si>
  <si>
    <t>Robert Jones</t>
  </si>
  <si>
    <t>East Antoniobury</t>
  </si>
  <si>
    <t>001-480-168-1124x978</t>
  </si>
  <si>
    <t>Sarah Rose</t>
  </si>
  <si>
    <t>New Ryanmouth</t>
  </si>
  <si>
    <t>247-388-0838x6557</t>
  </si>
  <si>
    <t>Mary Morrow</t>
  </si>
  <si>
    <t>Melaniehaven</t>
  </si>
  <si>
    <t>001-995-921-9720x7901</t>
  </si>
  <si>
    <t>Deanna Brown DDS</t>
  </si>
  <si>
    <t>Fowlerburgh</t>
  </si>
  <si>
    <t>(695)147-4833</t>
  </si>
  <si>
    <t>Steven Armstrong</t>
  </si>
  <si>
    <t>Robertfurt</t>
  </si>
  <si>
    <t>Maria Lee</t>
  </si>
  <si>
    <t>West Juanchester</t>
  </si>
  <si>
    <t>(433)729-7840</t>
  </si>
  <si>
    <t>Christine Davis</t>
  </si>
  <si>
    <t>Josephton</t>
  </si>
  <si>
    <t>144.359.7605</t>
  </si>
  <si>
    <t>Heather Stewart</t>
  </si>
  <si>
    <t>South Lucasview</t>
  </si>
  <si>
    <t>518-936-4091x169</t>
  </si>
  <si>
    <t>Cory Schmidt MD</t>
  </si>
  <si>
    <t>Johnsonville</t>
  </si>
  <si>
    <t>001-915-535-6309x779</t>
  </si>
  <si>
    <t>Nicholas Peterson</t>
  </si>
  <si>
    <t>West Troyview</t>
  </si>
  <si>
    <t>001-528-783-1533x9196</t>
  </si>
  <si>
    <t>Rebecca Mcbride</t>
  </si>
  <si>
    <t>Port Timothymouth</t>
  </si>
  <si>
    <t>(159)421-4100x43055</t>
  </si>
  <si>
    <t>Sandy Ward</t>
  </si>
  <si>
    <t>North Michael</t>
  </si>
  <si>
    <t>+1-532-646-0437x1719</t>
  </si>
  <si>
    <t>Jason Garcia</t>
  </si>
  <si>
    <t>Port Mariemouth</t>
  </si>
  <si>
    <t>229-688-4610x87983</t>
  </si>
  <si>
    <t>John Murray</t>
  </si>
  <si>
    <t>Fernandezberg</t>
  </si>
  <si>
    <t>001-664-004-0117x5796</t>
  </si>
  <si>
    <t>Lauren Golden</t>
  </si>
  <si>
    <t>Michealstad</t>
  </si>
  <si>
    <t>(509)120-3093</t>
  </si>
  <si>
    <t>Christopher Clark</t>
  </si>
  <si>
    <t>Port Peggyshire</t>
  </si>
  <si>
    <t>Patricia Salas</t>
  </si>
  <si>
    <t>Port Maryshire</t>
  </si>
  <si>
    <t>569.514.7193</t>
  </si>
  <si>
    <t>Frank Olson</t>
  </si>
  <si>
    <t>South Anthonyside</t>
  </si>
  <si>
    <t>001-996-747-5678x5051</t>
  </si>
  <si>
    <t>Elizabeth Stewart</t>
  </si>
  <si>
    <t>Kempstad</t>
  </si>
  <si>
    <t>(659)731-0182x7759</t>
  </si>
  <si>
    <t>James Hernandez II</t>
  </si>
  <si>
    <t>Kenthaven</t>
  </si>
  <si>
    <t>001-036-235-2960</t>
  </si>
  <si>
    <t>Robert White</t>
  </si>
  <si>
    <t>Petersonmouth</t>
  </si>
  <si>
    <t>982.838.9359</t>
  </si>
  <si>
    <t>Gabriel Harris</t>
  </si>
  <si>
    <t>Port Shannonhaven</t>
  </si>
  <si>
    <t>(853)034-2142x599</t>
  </si>
  <si>
    <t>Michael English</t>
  </si>
  <si>
    <t>612.320.3740</t>
  </si>
  <si>
    <t>Joseph Nelson</t>
  </si>
  <si>
    <t>Felicia Collier</t>
  </si>
  <si>
    <t>Toddstad</t>
  </si>
  <si>
    <t>+1-113-202-4089x101</t>
  </si>
  <si>
    <t>Meredith Hull</t>
  </si>
  <si>
    <t>Markfurt</t>
  </si>
  <si>
    <t>575-879-8768x33505</t>
  </si>
  <si>
    <t>Christine Beasley</t>
  </si>
  <si>
    <t>Jensenland</t>
  </si>
  <si>
    <t>(667)729-4034</t>
  </si>
  <si>
    <t>Maria Singh</t>
  </si>
  <si>
    <t>+1-353-127-1876x477</t>
  </si>
  <si>
    <t>Karen Cox</t>
  </si>
  <si>
    <t>Davidland</t>
  </si>
  <si>
    <t>791-759-9054x23904</t>
  </si>
  <si>
    <t>Amber Hobbs</t>
  </si>
  <si>
    <t>Rogersfort</t>
  </si>
  <si>
    <t>914.864.5127x8523</t>
  </si>
  <si>
    <t>Cindy Green PhD</t>
  </si>
  <si>
    <t>Sharpfurt</t>
  </si>
  <si>
    <t>Janice Thornton</t>
  </si>
  <si>
    <t>(646)735-9177x4671</t>
  </si>
  <si>
    <t>Shelly Castillo</t>
  </si>
  <si>
    <t>Chenview</t>
  </si>
  <si>
    <t>001-984-641-2359x15247</t>
  </si>
  <si>
    <t>Stephen Harris</t>
  </si>
  <si>
    <t>Port Seanshire</t>
  </si>
  <si>
    <t>+1-163-880-7237x908</t>
  </si>
  <si>
    <t>Robert Day</t>
  </si>
  <si>
    <t>Goodmanfort</t>
  </si>
  <si>
    <t>001-284-742-4202x15864</t>
  </si>
  <si>
    <t>John Williams</t>
  </si>
  <si>
    <t>Brooksborough</t>
  </si>
  <si>
    <t>(057)537-1761x52273</t>
  </si>
  <si>
    <t>Joshua Rush</t>
  </si>
  <si>
    <t>New Mark</t>
  </si>
  <si>
    <t>602-694-4031x226</t>
  </si>
  <si>
    <t>Joseph Johnson</t>
  </si>
  <si>
    <t>South Jasminechester</t>
  </si>
  <si>
    <t>412.202.8352x6950</t>
  </si>
  <si>
    <t>Alexis Rodriguez</t>
  </si>
  <si>
    <t>South Shirleymouth</t>
  </si>
  <si>
    <t>(748)827-8108x926</t>
  </si>
  <si>
    <t>James Lewis</t>
  </si>
  <si>
    <t>Richardton</t>
  </si>
  <si>
    <t>001-151-287-1850</t>
  </si>
  <si>
    <t>Becky Hernandez</t>
  </si>
  <si>
    <t>Jeanshire</t>
  </si>
  <si>
    <t>001-950-510-9795x700</t>
  </si>
  <si>
    <t>Paige Lewis</t>
  </si>
  <si>
    <t>Karenfort</t>
  </si>
  <si>
    <t>(150)608-5231x697</t>
  </si>
  <si>
    <t>Mark Williams</t>
  </si>
  <si>
    <t>Taylorport</t>
  </si>
  <si>
    <t>001-520-963-8410</t>
  </si>
  <si>
    <t>Kiara Martinez</t>
  </si>
  <si>
    <t>Ellisborough</t>
  </si>
  <si>
    <t>829-939-8804</t>
  </si>
  <si>
    <t>Angela Knight</t>
  </si>
  <si>
    <t>Port Joshua</t>
  </si>
  <si>
    <t>491-330-2377x936</t>
  </si>
  <si>
    <t>Spencer Roberts</t>
  </si>
  <si>
    <t>East Sheenahaven</t>
  </si>
  <si>
    <t>074-920-1029x14932</t>
  </si>
  <si>
    <t>Danny Palmer</t>
  </si>
  <si>
    <t>North Erikhaven</t>
  </si>
  <si>
    <t>+1-931-315-8378x838</t>
  </si>
  <si>
    <t>Jeffrey Turner</t>
  </si>
  <si>
    <t>East Tiffanyview</t>
  </si>
  <si>
    <t>001-321-160-3094x50214</t>
  </si>
  <si>
    <t>Michael Murphy</t>
  </si>
  <si>
    <t>Lake Sheilaland</t>
  </si>
  <si>
    <t>+1-887-843-6402x64812</t>
  </si>
  <si>
    <t>Jeffrey Knight</t>
  </si>
  <si>
    <t>Wardshire</t>
  </si>
  <si>
    <t>(207)794-8313</t>
  </si>
  <si>
    <t>Brittany Williams</t>
  </si>
  <si>
    <t>Christinehaven</t>
  </si>
  <si>
    <t>078.314.8173x43041</t>
  </si>
  <si>
    <t>Christopher Stokes</t>
  </si>
  <si>
    <t>Joshuahaven</t>
  </si>
  <si>
    <t>001-305-048-7931x49531</t>
  </si>
  <si>
    <t>Carl Brewer</t>
  </si>
  <si>
    <t>Nelsonbury</t>
  </si>
  <si>
    <t>846-764-5157x7104</t>
  </si>
  <si>
    <t>Rachel Arnold</t>
  </si>
  <si>
    <t>New James</t>
  </si>
  <si>
    <t>001-087-674-1329x05614</t>
  </si>
  <si>
    <t>Janet Newton</t>
  </si>
  <si>
    <t>West Amandaport</t>
  </si>
  <si>
    <t>930-590-8261</t>
  </si>
  <si>
    <t>Kellie Hart</t>
  </si>
  <si>
    <t>Changview</t>
  </si>
  <si>
    <t>+1-235-589-9126x33112</t>
  </si>
  <si>
    <t>Laura Leach</t>
  </si>
  <si>
    <t>Davidtown</t>
  </si>
  <si>
    <t>Dawn Rodriguez MD</t>
  </si>
  <si>
    <t>New Shauntown</t>
  </si>
  <si>
    <t>+1-083-624-3293x3668</t>
  </si>
  <si>
    <t>Sabrina Johnson</t>
  </si>
  <si>
    <t>East Emily</t>
  </si>
  <si>
    <t>001-552-124-3791</t>
  </si>
  <si>
    <t>Kimberly Duncan</t>
  </si>
  <si>
    <t>West Monica</t>
  </si>
  <si>
    <t>001-851-158-2436x740</t>
  </si>
  <si>
    <t>Amber Arellano</t>
  </si>
  <si>
    <t>South Marymouth</t>
  </si>
  <si>
    <t>+1-718-425-8787x628</t>
  </si>
  <si>
    <t>Rebecca Chan</t>
  </si>
  <si>
    <t>West Brittany</t>
  </si>
  <si>
    <t>(279)707-3052</t>
  </si>
  <si>
    <t>Mr. Jonathan Williams</t>
  </si>
  <si>
    <t>Bruceburgh</t>
  </si>
  <si>
    <t>(606)010-6061</t>
  </si>
  <si>
    <t>Jason Lowe</t>
  </si>
  <si>
    <t>Sarahside</t>
  </si>
  <si>
    <t>063.115.0253</t>
  </si>
  <si>
    <t>Christopher Sellers</t>
  </si>
  <si>
    <t>East Nathanstad</t>
  </si>
  <si>
    <t>(570)957-6832</t>
  </si>
  <si>
    <t>Shannon Jensen</t>
  </si>
  <si>
    <t>Lake Kevinport</t>
  </si>
  <si>
    <t>001-378-570-1120x234</t>
  </si>
  <si>
    <t>Jason Martin</t>
  </si>
  <si>
    <t>New Frederickfort</t>
  </si>
  <si>
    <t>001-501-877-7120x4743</t>
  </si>
  <si>
    <t>Jacob Mendez</t>
  </si>
  <si>
    <t>South Jason</t>
  </si>
  <si>
    <t>(818)358-6757</t>
  </si>
  <si>
    <t>New Stephanie</t>
  </si>
  <si>
    <t>131.083.4622x013</t>
  </si>
  <si>
    <t>Eric Carrillo</t>
  </si>
  <si>
    <t>Nicholsonland</t>
  </si>
  <si>
    <t>001-905-007-8793x1997</t>
  </si>
  <si>
    <t>Mark Carroll</t>
  </si>
  <si>
    <t>Lovestad</t>
  </si>
  <si>
    <t>+1-762-369-5612x249</t>
  </si>
  <si>
    <t>Laura Graham</t>
  </si>
  <si>
    <t>Mercerport</t>
  </si>
  <si>
    <t>096.804.5311x455</t>
  </si>
  <si>
    <t>Robert Moses</t>
  </si>
  <si>
    <t>Port Terry</t>
  </si>
  <si>
    <t>(629)870-5299x9094</t>
  </si>
  <si>
    <t>Adam Phelps</t>
  </si>
  <si>
    <t>North Amanda</t>
  </si>
  <si>
    <t>001-586-612-6376</t>
  </si>
  <si>
    <t>Tyler Christensen</t>
  </si>
  <si>
    <t>Lake Douglas</t>
  </si>
  <si>
    <t>306-691-2501</t>
  </si>
  <si>
    <t>Angela Gregory</t>
  </si>
  <si>
    <t>Lake Tracytown</t>
  </si>
  <si>
    <t>(817)856-6676x112</t>
  </si>
  <si>
    <t>Jonathon Gregory</t>
  </si>
  <si>
    <t>Shortfort</t>
  </si>
  <si>
    <t>040-511-7461x377</t>
  </si>
  <si>
    <t>Matthew Brown</t>
  </si>
  <si>
    <t>Port Amberfurt</t>
  </si>
  <si>
    <t>785-336-0978</t>
  </si>
  <si>
    <t>Brian Oneill</t>
  </si>
  <si>
    <t>East Stephaniefort</t>
  </si>
  <si>
    <t>(423)691-4227</t>
  </si>
  <si>
    <t>Jeremiah Terry</t>
  </si>
  <si>
    <t>Nicoleberg</t>
  </si>
  <si>
    <t>+1-095-501-3103x762</t>
  </si>
  <si>
    <t>Ashley Ramirez</t>
  </si>
  <si>
    <t>Heatherburgh</t>
  </si>
  <si>
    <t>604-382-3103</t>
  </si>
  <si>
    <t>Deanna Owens</t>
  </si>
  <si>
    <t>South Mark</t>
  </si>
  <si>
    <t>(865)410-9397</t>
  </si>
  <si>
    <t>Lisa Kim</t>
  </si>
  <si>
    <t>New Brandyhaven</t>
  </si>
  <si>
    <t>Randall Ford</t>
  </si>
  <si>
    <t>East Tasha</t>
  </si>
  <si>
    <t>(072)037-8421x0768</t>
  </si>
  <si>
    <t>Edward Lopez</t>
  </si>
  <si>
    <t>New Matthewton</t>
  </si>
  <si>
    <t>683-591-7229</t>
  </si>
  <si>
    <t>Tammy Brown</t>
  </si>
  <si>
    <t>Victorton</t>
  </si>
  <si>
    <t>+1-244-569-1621x3556</t>
  </si>
  <si>
    <t>Troy Jimenez</t>
  </si>
  <si>
    <t>Port Marc</t>
  </si>
  <si>
    <t>829.246.2756x7494</t>
  </si>
  <si>
    <t>Dustin Stark</t>
  </si>
  <si>
    <t>Kimberlymouth</t>
  </si>
  <si>
    <t>(716)950-4574x79791</t>
  </si>
  <si>
    <t>David Spence</t>
  </si>
  <si>
    <t>Port Curtisside</t>
  </si>
  <si>
    <t>Felicia Glover</t>
  </si>
  <si>
    <t>East Michael</t>
  </si>
  <si>
    <t>982-844-2370</t>
  </si>
  <si>
    <t>Jacob Scott</t>
  </si>
  <si>
    <t>South Jenniferburgh</t>
  </si>
  <si>
    <t>001-857-216-8483</t>
  </si>
  <si>
    <t>Jessica Shields</t>
  </si>
  <si>
    <t>South Richard</t>
  </si>
  <si>
    <t>519.092.5018x2511</t>
  </si>
  <si>
    <t>David Fox</t>
  </si>
  <si>
    <t>001-542-800-4782x916</t>
  </si>
  <si>
    <t>Amanda Buchanan</t>
  </si>
  <si>
    <t>Perryton</t>
  </si>
  <si>
    <t>121-718-4571x61884</t>
  </si>
  <si>
    <t>Kyle Scott</t>
  </si>
  <si>
    <t>Reedview</t>
  </si>
  <si>
    <t>001-980-204-3107x974</t>
  </si>
  <si>
    <t>Damon Schmidt</t>
  </si>
  <si>
    <t>Cummingschester</t>
  </si>
  <si>
    <t>001-695-722-3687x35864</t>
  </si>
  <si>
    <t>James Brown</t>
  </si>
  <si>
    <t>Lake Catherine</t>
  </si>
  <si>
    <t>(152)508-8754x91151</t>
  </si>
  <si>
    <t>Matthew Morgan</t>
  </si>
  <si>
    <t>(535)512-2781</t>
  </si>
  <si>
    <t>Nancy Jones</t>
  </si>
  <si>
    <t>West Bradley</t>
  </si>
  <si>
    <t>806.457.8047x368</t>
  </si>
  <si>
    <t>Denise Lucas</t>
  </si>
  <si>
    <t>East Jamesmouth</t>
  </si>
  <si>
    <t>006.775.8489x1702</t>
  </si>
  <si>
    <t>Amber Burnett</t>
  </si>
  <si>
    <t>Garciashire</t>
  </si>
  <si>
    <t>901-355-9555</t>
  </si>
  <si>
    <t>Matthew Webb</t>
  </si>
  <si>
    <t>West David</t>
  </si>
  <si>
    <t>001-998-341-9445x0465</t>
  </si>
  <si>
    <t>Nicholas Tucker</t>
  </si>
  <si>
    <t>(290)071-2070</t>
  </si>
  <si>
    <t>Matthew Deleon</t>
  </si>
  <si>
    <t>Danielsview</t>
  </si>
  <si>
    <t>006.940.9278x989</t>
  </si>
  <si>
    <t>Jose Vance</t>
  </si>
  <si>
    <t>Lake Heatherberg</t>
  </si>
  <si>
    <t>216.620.7837x2021</t>
  </si>
  <si>
    <t>Kenneth Barnes</t>
  </si>
  <si>
    <t>South Lindsay</t>
  </si>
  <si>
    <t>(868)434-0244</t>
  </si>
  <si>
    <t>Vanessa Johnson</t>
  </si>
  <si>
    <t>Wilsonshire</t>
  </si>
  <si>
    <t>(151)347-7079x5528</t>
  </si>
  <si>
    <t>Bridget Williams</t>
  </si>
  <si>
    <t>South Williamview</t>
  </si>
  <si>
    <t>001-079-347-2416x344</t>
  </si>
  <si>
    <t>Michael Craig</t>
  </si>
  <si>
    <t>Moralesburgh</t>
  </si>
  <si>
    <t>131-489-9950x8143</t>
  </si>
  <si>
    <t>Levi Lucas</t>
  </si>
  <si>
    <t>North Vanessamouth</t>
  </si>
  <si>
    <t>095-763-5392x058</t>
  </si>
  <si>
    <t>Travis Johnson</t>
  </si>
  <si>
    <t>South Edward</t>
  </si>
  <si>
    <t>785-640-1614</t>
  </si>
  <si>
    <t>Cassidy Alvarado</t>
  </si>
  <si>
    <t>Leahchester</t>
  </si>
  <si>
    <t>Samantha Potter</t>
  </si>
  <si>
    <t>Aguilarbury</t>
  </si>
  <si>
    <t>+1-541-434-4196x086</t>
  </si>
  <si>
    <t>Michael Ford</t>
  </si>
  <si>
    <t>New Sean</t>
  </si>
  <si>
    <t>389-988-8452</t>
  </si>
  <si>
    <t>Eugene Beltran</t>
  </si>
  <si>
    <t>South Samanthaburgh</t>
  </si>
  <si>
    <t>001-696-616-2431x933</t>
  </si>
  <si>
    <t>Emma Anderson</t>
  </si>
  <si>
    <t>Lake Michelle</t>
  </si>
  <si>
    <t>001-369-347-5266</t>
  </si>
  <si>
    <t>Christopher Garcia</t>
  </si>
  <si>
    <t>North Danielchester</t>
  </si>
  <si>
    <t>+1-837-555-5633x0883</t>
  </si>
  <si>
    <t>Jennifer Lucero</t>
  </si>
  <si>
    <t>South Theresaberg</t>
  </si>
  <si>
    <t>(386)105-5091x35748</t>
  </si>
  <si>
    <t>Kathleen Watkins</t>
  </si>
  <si>
    <t>Hardyberg</t>
  </si>
  <si>
    <t>(435)788-4119x238</t>
  </si>
  <si>
    <t>Gina Blankenship</t>
  </si>
  <si>
    <t>Brittanyborough</t>
  </si>
  <si>
    <t>001-318-721-7199x01418</t>
  </si>
  <si>
    <t>Douglas Roberts</t>
  </si>
  <si>
    <t>Deanstad</t>
  </si>
  <si>
    <t>+1-988-077-7950x039</t>
  </si>
  <si>
    <t>Donna Chang</t>
  </si>
  <si>
    <t>East Stevenborough</t>
  </si>
  <si>
    <t>Karen Williamson</t>
  </si>
  <si>
    <t>Sandovalmouth</t>
  </si>
  <si>
    <t>857-588-4472x78504</t>
  </si>
  <si>
    <t>Krista Williams</t>
  </si>
  <si>
    <t>Oliverberg</t>
  </si>
  <si>
    <t>Joshua Hooper</t>
  </si>
  <si>
    <t>Buchananton</t>
  </si>
  <si>
    <t>+1-013-463-1430x05130</t>
  </si>
  <si>
    <t>John Reynolds</t>
  </si>
  <si>
    <t>Grahambury</t>
  </si>
  <si>
    <t>001-062-085-9402x6875</t>
  </si>
  <si>
    <t>Jordan Hart</t>
  </si>
  <si>
    <t>East Julietown</t>
  </si>
  <si>
    <t>+1-161-753-6365x946</t>
  </si>
  <si>
    <t>Mary Wilson</t>
  </si>
  <si>
    <t>Lake Kimberlyton</t>
  </si>
  <si>
    <t>484-336-3858x53588</t>
  </si>
  <si>
    <t>John Warner</t>
  </si>
  <si>
    <t>Cookhaven</t>
  </si>
  <si>
    <t>Jacob Gibbs</t>
  </si>
  <si>
    <t>New Jesus</t>
  </si>
  <si>
    <t>(806)265-1675</t>
  </si>
  <si>
    <t>Emily Gallagher</t>
  </si>
  <si>
    <t>Wagnerburgh</t>
  </si>
  <si>
    <t>Cassandra Yoder</t>
  </si>
  <si>
    <t>Danielfurt</t>
  </si>
  <si>
    <t>+1-928-766-0621x673</t>
  </si>
  <si>
    <t>Hunter Richards</t>
  </si>
  <si>
    <t>West Victoriaberg</t>
  </si>
  <si>
    <t>001-581-778-1214</t>
  </si>
  <si>
    <t>Tracy Bass</t>
  </si>
  <si>
    <t>South Jessicaburgh</t>
  </si>
  <si>
    <t>461-258-4749x956</t>
  </si>
  <si>
    <t>Thomas Nelson</t>
  </si>
  <si>
    <t>Donnamouth</t>
  </si>
  <si>
    <t>+1-227-601-8962x271</t>
  </si>
  <si>
    <t>James Thompson</t>
  </si>
  <si>
    <t>Ronaldmouth</t>
  </si>
  <si>
    <t>(121)732-7913x396</t>
  </si>
  <si>
    <t>Julie Dickerson</t>
  </si>
  <si>
    <t>Diazbury</t>
  </si>
  <si>
    <t>383.138.2733x067</t>
  </si>
  <si>
    <t>Kristie Townsend</t>
  </si>
  <si>
    <t>Melissaberg</t>
  </si>
  <si>
    <t>(167)438-9582x45761</t>
  </si>
  <si>
    <t>James Turner</t>
  </si>
  <si>
    <t>North Mallorystad</t>
  </si>
  <si>
    <t>+1-700-709-7978x681</t>
  </si>
  <si>
    <t>Jacqueline Johnson</t>
  </si>
  <si>
    <t>Jeffreyland</t>
  </si>
  <si>
    <t>+1-208-657-1423x44884</t>
  </si>
  <si>
    <t>Jason Taylor</t>
  </si>
  <si>
    <t>Reginaburgh</t>
  </si>
  <si>
    <t>150-638-0354x9178</t>
  </si>
  <si>
    <t>Timothy Burns</t>
  </si>
  <si>
    <t>East Janetstad</t>
  </si>
  <si>
    <t>(262)555-7560</t>
  </si>
  <si>
    <t>Monica Phillips</t>
  </si>
  <si>
    <t>New Phillipfurt</t>
  </si>
  <si>
    <t>188-588-9838</t>
  </si>
  <si>
    <t>Jill Harris</t>
  </si>
  <si>
    <t>Josephfurt</t>
  </si>
  <si>
    <t>039-813-7188x11427</t>
  </si>
  <si>
    <t>Melissa Lee</t>
  </si>
  <si>
    <t>Brownport</t>
  </si>
  <si>
    <t>(833)194-0479x719</t>
  </si>
  <si>
    <t>Robert Kim</t>
  </si>
  <si>
    <t>Port Gabrielleborough</t>
  </si>
  <si>
    <t>513-156-7998x53487</t>
  </si>
  <si>
    <t>Rachel Rios</t>
  </si>
  <si>
    <t>319-104-8885</t>
  </si>
  <si>
    <t>Beth Phillips</t>
  </si>
  <si>
    <t>Zacharyview</t>
  </si>
  <si>
    <t>(293)383-2279x8386</t>
  </si>
  <si>
    <t>Laura Robertson</t>
  </si>
  <si>
    <t>Hansonfurt</t>
  </si>
  <si>
    <t>616-851-6533x67759</t>
  </si>
  <si>
    <t>Stephanie Smith</t>
  </si>
  <si>
    <t>West Carrieport</t>
  </si>
  <si>
    <t>001-028-411-5954x38730</t>
  </si>
  <si>
    <t>David Kennedy</t>
  </si>
  <si>
    <t>Port Caleb</t>
  </si>
  <si>
    <t>001-061-612-9715x40982</t>
  </si>
  <si>
    <t>Tamara Frey</t>
  </si>
  <si>
    <t>Deanfort</t>
  </si>
  <si>
    <t>(976)168-5693x615</t>
  </si>
  <si>
    <t>Renee Anderson</t>
  </si>
  <si>
    <t>Princehaven</t>
  </si>
  <si>
    <t>040.132.4956</t>
  </si>
  <si>
    <t>Lee Nunez</t>
  </si>
  <si>
    <t>Andersonfort</t>
  </si>
  <si>
    <t>468.857.1870x688</t>
  </si>
  <si>
    <t>Caitlin Cobb</t>
  </si>
  <si>
    <t>North Andresport</t>
  </si>
  <si>
    <t>Lisa Carroll</t>
  </si>
  <si>
    <t>South Jamesfort</t>
  </si>
  <si>
    <t>+1-223-842-8919x643</t>
  </si>
  <si>
    <t>Robert Becker</t>
  </si>
  <si>
    <t>Danielland</t>
  </si>
  <si>
    <t>060.756.0612</t>
  </si>
  <si>
    <t>James Estrada</t>
  </si>
  <si>
    <t>Westport</t>
  </si>
  <si>
    <t>001-020-450-8542x5607</t>
  </si>
  <si>
    <t>Adam Moore</t>
  </si>
  <si>
    <t>East Josephview</t>
  </si>
  <si>
    <t>+1-119-080-3260x81212</t>
  </si>
  <si>
    <t>Anthony Garcia</t>
  </si>
  <si>
    <t>Brownbury</t>
  </si>
  <si>
    <t>+1-845-541-9687x513</t>
  </si>
  <si>
    <t>Samantha Simpson</t>
  </si>
  <si>
    <t>West Meganmouth</t>
  </si>
  <si>
    <t>001-030-832-3866x065</t>
  </si>
  <si>
    <t>Lisa Cruz</t>
  </si>
  <si>
    <t>(372)091-7748x36631</t>
  </si>
  <si>
    <t>Joseph Stafford</t>
  </si>
  <si>
    <t>Lake Lindseystad</t>
  </si>
  <si>
    <t>Elizabeth Cochran</t>
  </si>
  <si>
    <t>Theresabury</t>
  </si>
  <si>
    <t>Sharon Martin</t>
  </si>
  <si>
    <t>South Michelleport</t>
  </si>
  <si>
    <t>885.889.2008x8858</t>
  </si>
  <si>
    <t>James Miller</t>
  </si>
  <si>
    <t>Lisabury</t>
  </si>
  <si>
    <t>+1-499-819-6868x6637</t>
  </si>
  <si>
    <t>Taylor Miller</t>
  </si>
  <si>
    <t>Josephside</t>
  </si>
  <si>
    <t>+1-022-270-5486x316</t>
  </si>
  <si>
    <t>Pamela Finley</t>
  </si>
  <si>
    <t>Harrisfurt</t>
  </si>
  <si>
    <t>001-160-542-5380x55508</t>
  </si>
  <si>
    <t>Karen Cain</t>
  </si>
  <si>
    <t>East Daisybury</t>
  </si>
  <si>
    <t>506-960-4185x0865</t>
  </si>
  <si>
    <t>Cody Meyer</t>
  </si>
  <si>
    <t>Westshire</t>
  </si>
  <si>
    <t>415.147.2095x47370</t>
  </si>
  <si>
    <t>Scott Schroeder</t>
  </si>
  <si>
    <t>001-229-042-2531x276</t>
  </si>
  <si>
    <t>Sabrina Klein MD</t>
  </si>
  <si>
    <t>Shawhaven</t>
  </si>
  <si>
    <t>071.615.4555x80217</t>
  </si>
  <si>
    <t>Amber Hale</t>
  </si>
  <si>
    <t>Comptonside</t>
  </si>
  <si>
    <t>001-750-235-2728</t>
  </si>
  <si>
    <t>Michael Petersen</t>
  </si>
  <si>
    <t>Maryside</t>
  </si>
  <si>
    <t>+1-454-301-1932x97038</t>
  </si>
  <si>
    <t>North Dawn</t>
  </si>
  <si>
    <t>001-359-139-7284x11773</t>
  </si>
  <si>
    <t>Jeremiah Hampton</t>
  </si>
  <si>
    <t>South Sheryl</t>
  </si>
  <si>
    <t>(837)048-4121</t>
  </si>
  <si>
    <t>Victoria Torres</t>
  </si>
  <si>
    <t>Martinchester</t>
  </si>
  <si>
    <t>+1-624-780-9445x7755</t>
  </si>
  <si>
    <t>Danielle Hayes</t>
  </si>
  <si>
    <t>Andreaberg</t>
  </si>
  <si>
    <t>Christina Lambert</t>
  </si>
  <si>
    <t>Delgadofort</t>
  </si>
  <si>
    <t>637.516.9143x5014</t>
  </si>
  <si>
    <t>Patrick Velasquez</t>
  </si>
  <si>
    <t>West Jacob</t>
  </si>
  <si>
    <t>606-166-7246x746</t>
  </si>
  <si>
    <t>Jeffrey Wilson</t>
  </si>
  <si>
    <t>Davisport</t>
  </si>
  <si>
    <t>001-245-390-7219x847</t>
  </si>
  <si>
    <t>Aaron Malone</t>
  </si>
  <si>
    <t>East Mark</t>
  </si>
  <si>
    <t>+1-803-136-6978x6095</t>
  </si>
  <si>
    <t>James Rose</t>
  </si>
  <si>
    <t>East Amandaberg</t>
  </si>
  <si>
    <t>658-204-7743</t>
  </si>
  <si>
    <t>Madison Myers</t>
  </si>
  <si>
    <t>Cruzland</t>
  </si>
  <si>
    <t>(123)500-8333x8386</t>
  </si>
  <si>
    <t>Charles Morris</t>
  </si>
  <si>
    <t>New Olivia</t>
  </si>
  <si>
    <t>(006)107-4825x44414</t>
  </si>
  <si>
    <t>Mr. Steven Reeves MD</t>
  </si>
  <si>
    <t>West Jacquelinefort</t>
  </si>
  <si>
    <t>+1-263-739-4608x1451</t>
  </si>
  <si>
    <t>John Simmons</t>
  </si>
  <si>
    <t>North Tanner</t>
  </si>
  <si>
    <t>797-388-6145x650</t>
  </si>
  <si>
    <t>Jason Mcpherson</t>
  </si>
  <si>
    <t>Michaelside</t>
  </si>
  <si>
    <t>403.693.4197x409</t>
  </si>
  <si>
    <t>Mr. Brian Fox</t>
  </si>
  <si>
    <t>Scottbury</t>
  </si>
  <si>
    <t>(301)316-4760x229</t>
  </si>
  <si>
    <t>Jeffrey Cooper</t>
  </si>
  <si>
    <t>Lake Christian</t>
  </si>
  <si>
    <t>001-877-245-5095</t>
  </si>
  <si>
    <t>Samantha Ellison</t>
  </si>
  <si>
    <t>New Kimberly</t>
  </si>
  <si>
    <t>522.437.7292x9078</t>
  </si>
  <si>
    <t>Kylie Young</t>
  </si>
  <si>
    <t>Ginaview</t>
  </si>
  <si>
    <t>West Josephland</t>
  </si>
  <si>
    <t>370.467.1150x479</t>
  </si>
  <si>
    <t>Renee Flynn</t>
  </si>
  <si>
    <t>093.501.8423</t>
  </si>
  <si>
    <t>Jennifer Wright</t>
  </si>
  <si>
    <t>Lauratown</t>
  </si>
  <si>
    <t>(257)556-3261x76228</t>
  </si>
  <si>
    <t>Scott Craig</t>
  </si>
  <si>
    <t>South Lisa</t>
  </si>
  <si>
    <t>118.382.6136</t>
  </si>
  <si>
    <t>Michelle Reed</t>
  </si>
  <si>
    <t>West John</t>
  </si>
  <si>
    <t>Jessica Stephens</t>
  </si>
  <si>
    <t>West Michaelton</t>
  </si>
  <si>
    <t>358-977-8320</t>
  </si>
  <si>
    <t>Michael Cox</t>
  </si>
  <si>
    <t>North Kelly</t>
  </si>
  <si>
    <t>001-953-739-5146x845</t>
  </si>
  <si>
    <t>Mary Anderson</t>
  </si>
  <si>
    <t>South Mirandamouth</t>
  </si>
  <si>
    <t>+1-148-126-0133x15456</t>
  </si>
  <si>
    <t>Brian Reed</t>
  </si>
  <si>
    <t>Amandaburgh</t>
  </si>
  <si>
    <t>640.564.9498x1956</t>
  </si>
  <si>
    <t>Robert Stewart</t>
  </si>
  <si>
    <t>New Laura</t>
  </si>
  <si>
    <t>873-501-6244x4712</t>
  </si>
  <si>
    <t>Glenn Anthony</t>
  </si>
  <si>
    <t>Halltown</t>
  </si>
  <si>
    <t>502-960-7549</t>
  </si>
  <si>
    <t>Andrew Gray</t>
  </si>
  <si>
    <t>Lake Dustin</t>
  </si>
  <si>
    <t>(448)005-7192x2140</t>
  </si>
  <si>
    <t>Adam Horton</t>
  </si>
  <si>
    <t>Ramosberg</t>
  </si>
  <si>
    <t>364-423-0076x300</t>
  </si>
  <si>
    <t>Charles Aguilar</t>
  </si>
  <si>
    <t>Johnsonchester</t>
  </si>
  <si>
    <t>+1-148-261-9107x10033</t>
  </si>
  <si>
    <t>Wesley Myers</t>
  </si>
  <si>
    <t>Meganburgh</t>
  </si>
  <si>
    <t>(285)991-7532x0243</t>
  </si>
  <si>
    <t>Terrence Wagner</t>
  </si>
  <si>
    <t>Taraside</t>
  </si>
  <si>
    <t>001-832-246-7583</t>
  </si>
  <si>
    <t>Kyle Johnson</t>
  </si>
  <si>
    <t>Ellisshire</t>
  </si>
  <si>
    <t>001-887-766-6073</t>
  </si>
  <si>
    <t>Kristopher Mendoza</t>
  </si>
  <si>
    <t>Bradfurt</t>
  </si>
  <si>
    <t>(678)116-6339x54475</t>
  </si>
  <si>
    <t>Christina Brown</t>
  </si>
  <si>
    <t>Wyattton</t>
  </si>
  <si>
    <t>(983)034-7865</t>
  </si>
  <si>
    <t>Jo Martinez</t>
  </si>
  <si>
    <t>Port Williamtown</t>
  </si>
  <si>
    <t>+1-264-342-6012x6505</t>
  </si>
  <si>
    <t>Tanya Lowe</t>
  </si>
  <si>
    <t>Crawfordchester</t>
  </si>
  <si>
    <t>(677)596-9794</t>
  </si>
  <si>
    <t>Christopher Diaz</t>
  </si>
  <si>
    <t>Lorifurt</t>
  </si>
  <si>
    <t>001-442-106-2480x735</t>
  </si>
  <si>
    <t>Robert Abbott</t>
  </si>
  <si>
    <t>Collierburgh</t>
  </si>
  <si>
    <t>+1-114-532-8181x037</t>
  </si>
  <si>
    <t>Amanda Brown</t>
  </si>
  <si>
    <t>New Larryshire</t>
  </si>
  <si>
    <t>176.330.5060</t>
  </si>
  <si>
    <t>Jennifer Taylor</t>
  </si>
  <si>
    <t>Lake Kaylamouth</t>
  </si>
  <si>
    <t>001-024-241-1359</t>
  </si>
  <si>
    <t>Ashley Harris</t>
  </si>
  <si>
    <t>Lake Stephenchester</t>
  </si>
  <si>
    <t>001-680-582-4607x74285</t>
  </si>
  <si>
    <t>Dana Williams</t>
  </si>
  <si>
    <t>Cookstad</t>
  </si>
  <si>
    <t>James Knight</t>
  </si>
  <si>
    <t>Kirkfort</t>
  </si>
  <si>
    <t>+1-001-504-4343x556</t>
  </si>
  <si>
    <t>Ashley Clark</t>
  </si>
  <si>
    <t>Poolebury</t>
  </si>
  <si>
    <t>518.622.6804x900</t>
  </si>
  <si>
    <t>Justin Martinez</t>
  </si>
  <si>
    <t>New Erikamouth</t>
  </si>
  <si>
    <t>697-357-7122x04253</t>
  </si>
  <si>
    <t>Jessica Camacho</t>
  </si>
  <si>
    <t>Billyland</t>
  </si>
  <si>
    <t>(190)674-9988x688</t>
  </si>
  <si>
    <t>Justin Anderson</t>
  </si>
  <si>
    <t>South Craigborough</t>
  </si>
  <si>
    <t>+1-967-629-8865x504</t>
  </si>
  <si>
    <t>Katherine Houston</t>
  </si>
  <si>
    <t>Lake Joshuabury</t>
  </si>
  <si>
    <t>(935)420-0196x9064</t>
  </si>
  <si>
    <t>Jose Cooper</t>
  </si>
  <si>
    <t>Pooleside</t>
  </si>
  <si>
    <t>(083)601-2157</t>
  </si>
  <si>
    <t>Tara Williams</t>
  </si>
  <si>
    <t>New Dakotahaven</t>
  </si>
  <si>
    <t>Kayla Erickson</t>
  </si>
  <si>
    <t>West Lindseyside</t>
  </si>
  <si>
    <t>213.752.6967x0263</t>
  </si>
  <si>
    <t>David Mendoza</t>
  </si>
  <si>
    <t>North Shawnastad</t>
  </si>
  <si>
    <t>001-517-864-9061x969</t>
  </si>
  <si>
    <t>Joshua Mendoza</t>
  </si>
  <si>
    <t>North Amy</t>
  </si>
  <si>
    <t>(842)876-7043x953</t>
  </si>
  <si>
    <t>Veronica Adams</t>
  </si>
  <si>
    <t>Natalieside</t>
  </si>
  <si>
    <t>Lori Peters</t>
  </si>
  <si>
    <t>Annaborough</t>
  </si>
  <si>
    <t>270.652.6057x691</t>
  </si>
  <si>
    <t>Darius Reid</t>
  </si>
  <si>
    <t>Port Philipmouth</t>
  </si>
  <si>
    <t>(306)939-5162</t>
  </si>
  <si>
    <t>Danny Brown</t>
  </si>
  <si>
    <t>East Shirley</t>
  </si>
  <si>
    <t>829.371.2280x79605</t>
  </si>
  <si>
    <t>Scott Smith</t>
  </si>
  <si>
    <t>New Donnahaven</t>
  </si>
  <si>
    <t>001-376-965-5711</t>
  </si>
  <si>
    <t>Jeremy Robinson</t>
  </si>
  <si>
    <t>Jamesview</t>
  </si>
  <si>
    <t>001-097-198-3229x7777</t>
  </si>
  <si>
    <t>Jeffrey Stafford</t>
  </si>
  <si>
    <t>North Nicholasborough</t>
  </si>
  <si>
    <t>454.460.2468x7969</t>
  </si>
  <si>
    <t>Cory Johnson</t>
  </si>
  <si>
    <t>Port Robertmouth</t>
  </si>
  <si>
    <t>(944)311-5766</t>
  </si>
  <si>
    <t>Bridget Hill</t>
  </si>
  <si>
    <t>South Emily</t>
  </si>
  <si>
    <t>868-465-2331x6437</t>
  </si>
  <si>
    <t>Kristen Foster</t>
  </si>
  <si>
    <t>North Ricardo</t>
  </si>
  <si>
    <t>749.252.8592</t>
  </si>
  <si>
    <t>Alan Riley</t>
  </si>
  <si>
    <t>Tylermouth</t>
  </si>
  <si>
    <t>+1-191-620-2120x274</t>
  </si>
  <si>
    <t>Steven Shaffer</t>
  </si>
  <si>
    <t>Rodneyport</t>
  </si>
  <si>
    <t>(799)793-9460</t>
  </si>
  <si>
    <t>Aaron Rios</t>
  </si>
  <si>
    <t>New Jeffreyhaven</t>
  </si>
  <si>
    <t>543-629-4859x81093</t>
  </si>
  <si>
    <t>Mary Evans</t>
  </si>
  <si>
    <t>North Josephmouth</t>
  </si>
  <si>
    <t>248-457-5683</t>
  </si>
  <si>
    <t>James Hardin</t>
  </si>
  <si>
    <t>East Robert</t>
  </si>
  <si>
    <t>716.035.6813x982</t>
  </si>
  <si>
    <t>Amber Cruz</t>
  </si>
  <si>
    <t>Allenborough</t>
  </si>
  <si>
    <t>+1-077-073-1734x206</t>
  </si>
  <si>
    <t>Jean Woods</t>
  </si>
  <si>
    <t>Fernandezchester</t>
  </si>
  <si>
    <t>+1-688-546-8304x8077</t>
  </si>
  <si>
    <t>Matthew Davis</t>
  </si>
  <si>
    <t>Birdview</t>
  </si>
  <si>
    <t>Holly Aguilar</t>
  </si>
  <si>
    <t>West Sara</t>
  </si>
  <si>
    <t>799.506.2068</t>
  </si>
  <si>
    <t>Joseph Whitaker</t>
  </si>
  <si>
    <t>Jamesborough</t>
  </si>
  <si>
    <t>001-059-271-8576</t>
  </si>
  <si>
    <t>Thomas Myers</t>
  </si>
  <si>
    <t>North Haleyhaven</t>
  </si>
  <si>
    <t>579-856-5722</t>
  </si>
  <si>
    <t>Brian Hardy</t>
  </si>
  <si>
    <t>Lake Williamhaven</t>
  </si>
  <si>
    <t>(062)642-7542x67155</t>
  </si>
  <si>
    <t>Carrie Hess</t>
  </si>
  <si>
    <t>Jarvisshire</t>
  </si>
  <si>
    <t>+1-828-067-9673x188</t>
  </si>
  <si>
    <t>Tammy Fletcher</t>
  </si>
  <si>
    <t>New Adrian</t>
  </si>
  <si>
    <t>219-550-2711</t>
  </si>
  <si>
    <t>Ms. Deborah Campos</t>
  </si>
  <si>
    <t>West Barry</t>
  </si>
  <si>
    <t>001-579-948-5058</t>
  </si>
  <si>
    <t>Jennifer Smith</t>
  </si>
  <si>
    <t>179-728-0744</t>
  </si>
  <si>
    <t>Shelby Rice</t>
  </si>
  <si>
    <t>New Loriberg</t>
  </si>
  <si>
    <t>+1-213-470-2112x7474</t>
  </si>
  <si>
    <t>Emily Ramos</t>
  </si>
  <si>
    <t>East Michaelview</t>
  </si>
  <si>
    <t>033-795-7197x362</t>
  </si>
  <si>
    <t>Rachel Pena</t>
  </si>
  <si>
    <t>Grossport</t>
  </si>
  <si>
    <t>(523)668-5935x836</t>
  </si>
  <si>
    <t>Hannah Reynolds</t>
  </si>
  <si>
    <t>East Kevinberg</t>
  </si>
  <si>
    <t>731-040-5330x77836</t>
  </si>
  <si>
    <t>Donald Caldwell</t>
  </si>
  <si>
    <t>Dawsonberg</t>
  </si>
  <si>
    <t>001-191-071-2217x6177</t>
  </si>
  <si>
    <t>Michelle Riley</t>
  </si>
  <si>
    <t>New Juliaton</t>
  </si>
  <si>
    <t>001-012-497-9466x8873</t>
  </si>
  <si>
    <t>Cindy Robinson DDS</t>
  </si>
  <si>
    <t>Franklinview</t>
  </si>
  <si>
    <t>Amanda Kline</t>
  </si>
  <si>
    <t>East Travis</t>
  </si>
  <si>
    <t>001-265-376-3204x275</t>
  </si>
  <si>
    <t>Ann Odonnell</t>
  </si>
  <si>
    <t>(926)345-7660x29567</t>
  </si>
  <si>
    <t>Christopher Gonzalez</t>
  </si>
  <si>
    <t>Payneland</t>
  </si>
  <si>
    <t>+1-510-241-2999x765</t>
  </si>
  <si>
    <t>Jamie Jenkins</t>
  </si>
  <si>
    <t>New Melanie</t>
  </si>
  <si>
    <t>001-676-903-9528x783</t>
  </si>
  <si>
    <t>Abigail Crawford</t>
  </si>
  <si>
    <t>Lake Shawn</t>
  </si>
  <si>
    <t>(010)152-8668</t>
  </si>
  <si>
    <t>Matthew Cordova</t>
  </si>
  <si>
    <t>Rubioborough</t>
  </si>
  <si>
    <t>001-905-589-8944x09730</t>
  </si>
  <si>
    <t>Tina Donaldson</t>
  </si>
  <si>
    <t>Lake Brandibury</t>
  </si>
  <si>
    <t>736-446-4714</t>
  </si>
  <si>
    <t>Devon Martinez</t>
  </si>
  <si>
    <t>Jessicaland</t>
  </si>
  <si>
    <t>(861)258-2469x860</t>
  </si>
  <si>
    <t>Katelyn Proctor</t>
  </si>
  <si>
    <t>Williamsborough</t>
  </si>
  <si>
    <t>001-949-271-7461x8101</t>
  </si>
  <si>
    <t>Jeffrey Jones</t>
  </si>
  <si>
    <t>Kennethmouth</t>
  </si>
  <si>
    <t>Jeffrey Walker</t>
  </si>
  <si>
    <t>Woodardview</t>
  </si>
  <si>
    <t>Deborah Garza</t>
  </si>
  <si>
    <t>South Alanville</t>
  </si>
  <si>
    <t>695-589-2656</t>
  </si>
  <si>
    <t>Lindsey Mathis</t>
  </si>
  <si>
    <t>Ianland</t>
  </si>
  <si>
    <t>816.558.5061</t>
  </si>
  <si>
    <t>Michael Townsend</t>
  </si>
  <si>
    <t>East Kevin</t>
  </si>
  <si>
    <t>034.803.8502x33851</t>
  </si>
  <si>
    <t>Katrina Cruz</t>
  </si>
  <si>
    <t>Jenkinsfurt</t>
  </si>
  <si>
    <t>709-191-5616x88772</t>
  </si>
  <si>
    <t>Sarah Brown</t>
  </si>
  <si>
    <t>001-119-880-7367x9899</t>
  </si>
  <si>
    <t>Gregory Rodriguez</t>
  </si>
  <si>
    <t>West Davidview</t>
  </si>
  <si>
    <t>671.667.1616</t>
  </si>
  <si>
    <t>Kelly Walls</t>
  </si>
  <si>
    <t>Lake Victoriaton</t>
  </si>
  <si>
    <t>857-517-5280</t>
  </si>
  <si>
    <t>Savannah Holland</t>
  </si>
  <si>
    <t>Kelleystad</t>
  </si>
  <si>
    <t>Victor Diaz</t>
  </si>
  <si>
    <t>Darinview</t>
  </si>
  <si>
    <t>561.923.0470x922</t>
  </si>
  <si>
    <t>Sarah Roberts</t>
  </si>
  <si>
    <t>North Janetland</t>
  </si>
  <si>
    <t>001-513-459-3188x9757</t>
  </si>
  <si>
    <t>Cassidy Davis</t>
  </si>
  <si>
    <t>West Donaldmouth</t>
  </si>
  <si>
    <t>001-815-359-4471</t>
  </si>
  <si>
    <t>Kimberly Ware</t>
  </si>
  <si>
    <t>East Sheriton</t>
  </si>
  <si>
    <t>001-078-266-0266</t>
  </si>
  <si>
    <t>Mary Escobar</t>
  </si>
  <si>
    <t>Gloriaview</t>
  </si>
  <si>
    <t>(663)863-6846x9153</t>
  </si>
  <si>
    <t>Barbara Richards</t>
  </si>
  <si>
    <t>Carlostown</t>
  </si>
  <si>
    <t>524-811-9365x51761</t>
  </si>
  <si>
    <t>Donna Terry</t>
  </si>
  <si>
    <t>Mathistown</t>
  </si>
  <si>
    <t>(104)858-7570</t>
  </si>
  <si>
    <t>Dunnbury</t>
  </si>
  <si>
    <t>909.913.1799</t>
  </si>
  <si>
    <t>Rhonda Lewis</t>
  </si>
  <si>
    <t>South Michael</t>
  </si>
  <si>
    <t>001-068-151-1254x26821</t>
  </si>
  <si>
    <t>Justin Stevens</t>
  </si>
  <si>
    <t>South Mary</t>
  </si>
  <si>
    <t>001-756-051-1371x9827</t>
  </si>
  <si>
    <t>Jodi Lee</t>
  </si>
  <si>
    <t>West Paulfort</t>
  </si>
  <si>
    <t>Dr. Wendy Terrell</t>
  </si>
  <si>
    <t>Erikashire</t>
  </si>
  <si>
    <t>566-236-8791</t>
  </si>
  <si>
    <t>John Harris</t>
  </si>
  <si>
    <t>Riverafort</t>
  </si>
  <si>
    <t>+1-827-545-0294x5697</t>
  </si>
  <si>
    <t>Jacob Horton</t>
  </si>
  <si>
    <t>Port Douglasland</t>
  </si>
  <si>
    <t>+1-286-744-5283x04031</t>
  </si>
  <si>
    <t>Mark Ward</t>
  </si>
  <si>
    <t>Port Jonathanton</t>
  </si>
  <si>
    <t>Matthew Thornton</t>
  </si>
  <si>
    <t>Hayesfort</t>
  </si>
  <si>
    <t>Chad Vaughn</t>
  </si>
  <si>
    <t>Lake Brandonborough</t>
  </si>
  <si>
    <t>(565)199-2977x36531</t>
  </si>
  <si>
    <t>Lynn Lucas</t>
  </si>
  <si>
    <t>Elizabethberg</t>
  </si>
  <si>
    <t>689-129-0146</t>
  </si>
  <si>
    <t>Jessica Boyd</t>
  </si>
  <si>
    <t>South Heather</t>
  </si>
  <si>
    <t>001-758-410-5626x844</t>
  </si>
  <si>
    <t>Earl Hess</t>
  </si>
  <si>
    <t>Rodneyborough</t>
  </si>
  <si>
    <t>(009)175-1556</t>
  </si>
  <si>
    <t>Rebecca Lucas</t>
  </si>
  <si>
    <t>New Jessicabury</t>
  </si>
  <si>
    <t>721.446.3873x3399</t>
  </si>
  <si>
    <t>Sharon Wood</t>
  </si>
  <si>
    <t>New Melindashire</t>
  </si>
  <si>
    <t>Alex Leon</t>
  </si>
  <si>
    <t>Caitlynhaven</t>
  </si>
  <si>
    <t>(667)114-0630x55873</t>
  </si>
  <si>
    <t>Taylor Mann</t>
  </si>
  <si>
    <t>North Lawrence</t>
  </si>
  <si>
    <t>001-766-748-2534x468</t>
  </si>
  <si>
    <t>Debra Webster</t>
  </si>
  <si>
    <t>East Debramouth</t>
  </si>
  <si>
    <t>(930)291-9053x13757</t>
  </si>
  <si>
    <t>Thomas Castaneda</t>
  </si>
  <si>
    <t>West Ashleymouth</t>
  </si>
  <si>
    <t>182.504.4729x4296</t>
  </si>
  <si>
    <t>Allison Pennington</t>
  </si>
  <si>
    <t>North Lydiaberg</t>
  </si>
  <si>
    <t>Caitlin Bennett</t>
  </si>
  <si>
    <t>Delacruzborough</t>
  </si>
  <si>
    <t>(351)050-3132x9588</t>
  </si>
  <si>
    <t>Brittany Mcclain</t>
  </si>
  <si>
    <t>Robertville</t>
  </si>
  <si>
    <t>(811)036-2093x7533</t>
  </si>
  <si>
    <t>Sarah Morgan</t>
  </si>
  <si>
    <t>Gilbertfurt</t>
  </si>
  <si>
    <t>Tina Anderson</t>
  </si>
  <si>
    <t>Port Jonathanhaven</t>
  </si>
  <si>
    <t>102-168-5649</t>
  </si>
  <si>
    <t>Mark Russell</t>
  </si>
  <si>
    <t>Nathanstad</t>
  </si>
  <si>
    <t>(381)175-3680</t>
  </si>
  <si>
    <t>Christopher Wong</t>
  </si>
  <si>
    <t>Jacquelineshire</t>
  </si>
  <si>
    <t>(745)135-7397</t>
  </si>
  <si>
    <t>Jacqueline Fernandez</t>
  </si>
  <si>
    <t>Kennethside</t>
  </si>
  <si>
    <t>+1-573-412-8522x8213</t>
  </si>
  <si>
    <t>Angela Hall</t>
  </si>
  <si>
    <t>Greenville</t>
  </si>
  <si>
    <t>Oneillland</t>
  </si>
  <si>
    <t>001-879-448-7571x7987</t>
  </si>
  <si>
    <t>Samantha Gomez</t>
  </si>
  <si>
    <t>Suzanneton</t>
  </si>
  <si>
    <t>001-955-495-8534x09912</t>
  </si>
  <si>
    <t>Jason Hughes</t>
  </si>
  <si>
    <t>Myerstown</t>
  </si>
  <si>
    <t>851-627-0395x00955</t>
  </si>
  <si>
    <t>Tyler Gray</t>
  </si>
  <si>
    <t>West Dustinberg</t>
  </si>
  <si>
    <t>(374)850-8848</t>
  </si>
  <si>
    <t>Donald Anderson</t>
  </si>
  <si>
    <t>North Stephanieborough</t>
  </si>
  <si>
    <t>+1-224-951-1888x539</t>
  </si>
  <si>
    <t>Victor Ward</t>
  </si>
  <si>
    <t>Johnhaven</t>
  </si>
  <si>
    <t>628-048-2026x3385</t>
  </si>
  <si>
    <t>Donald Moore</t>
  </si>
  <si>
    <t>Davisfort</t>
  </si>
  <si>
    <t>001-742-164-8768x9906</t>
  </si>
  <si>
    <t>Ashley Silva</t>
  </si>
  <si>
    <t>Port Thomas</t>
  </si>
  <si>
    <t>(553)048-3123x8350</t>
  </si>
  <si>
    <t>Sheila Lang</t>
  </si>
  <si>
    <t>Lake Larryborough</t>
  </si>
  <si>
    <t>001-585-286-2289</t>
  </si>
  <si>
    <t>Samantha Sherman</t>
  </si>
  <si>
    <t>Port Cindyberg</t>
  </si>
  <si>
    <t>(659)277-6748x37772</t>
  </si>
  <si>
    <t>Mr. Joseph Herring</t>
  </si>
  <si>
    <t>Mariefurt</t>
  </si>
  <si>
    <t>839.044.2094</t>
  </si>
  <si>
    <t>Leon Foster</t>
  </si>
  <si>
    <t>Bennettton</t>
  </si>
  <si>
    <t>198-936-9076</t>
  </si>
  <si>
    <t>Brandon Rice</t>
  </si>
  <si>
    <t>South Benjamin</t>
  </si>
  <si>
    <t>Teresa Estrada</t>
  </si>
  <si>
    <t>Mayburgh</t>
  </si>
  <si>
    <t>320-778-4104</t>
  </si>
  <si>
    <t>Patricia Joseph</t>
  </si>
  <si>
    <t>Lauraport</t>
  </si>
  <si>
    <t>611-927-6696x43169</t>
  </si>
  <si>
    <t>Brian Johnson</t>
  </si>
  <si>
    <t>Patrickfort</t>
  </si>
  <si>
    <t>001-751-479-5501x9929</t>
  </si>
  <si>
    <t>Mark Miller</t>
  </si>
  <si>
    <t>North Joshua</t>
  </si>
  <si>
    <t>011.361.1154x694</t>
  </si>
  <si>
    <t>Danielle Bullock</t>
  </si>
  <si>
    <t>Amandafurt</t>
  </si>
  <si>
    <t>(888)253-9476x2056</t>
  </si>
  <si>
    <t>Tammy Patrick</t>
  </si>
  <si>
    <t>Clarkton</t>
  </si>
  <si>
    <t>001-671-552-9014x817</t>
  </si>
  <si>
    <t>Pamela Scott</t>
  </si>
  <si>
    <t>South Paul</t>
  </si>
  <si>
    <t>310-642-0442</t>
  </si>
  <si>
    <t>Adam Evans</t>
  </si>
  <si>
    <t>Lake Sonya</t>
  </si>
  <si>
    <t>484-398-0067x44415</t>
  </si>
  <si>
    <t>Rebecca Wright</t>
  </si>
  <si>
    <t>Teresastad</t>
  </si>
  <si>
    <t>+1-707-387-4410x419</t>
  </si>
  <si>
    <t>Elizabeth Fisher</t>
  </si>
  <si>
    <t>Carrborough</t>
  </si>
  <si>
    <t>(298)908-3776x9550</t>
  </si>
  <si>
    <t>Dawn Jennings</t>
  </si>
  <si>
    <t>Port Cody</t>
  </si>
  <si>
    <t>085-759-6512x5392</t>
  </si>
  <si>
    <t>Thomas Villanueva</t>
  </si>
  <si>
    <t>Gutierrezmouth</t>
  </si>
  <si>
    <t>001-338-603-9644</t>
  </si>
  <si>
    <t>Joanna Black</t>
  </si>
  <si>
    <t>North Jacobhaven</t>
  </si>
  <si>
    <t>781.950.5825</t>
  </si>
  <si>
    <t>Steve Kirby</t>
  </si>
  <si>
    <t>Travishaven</t>
  </si>
  <si>
    <t>815.195.8711x59256</t>
  </si>
  <si>
    <t>Thomas Sanchez</t>
  </si>
  <si>
    <t>Rodneyfurt</t>
  </si>
  <si>
    <t>231.592.1072x512</t>
  </si>
  <si>
    <t>Rita Kane</t>
  </si>
  <si>
    <t>South Jamie</t>
  </si>
  <si>
    <t>Becky Smith</t>
  </si>
  <si>
    <t>East Renee</t>
  </si>
  <si>
    <t>Kristi Rodriguez</t>
  </si>
  <si>
    <t>Nielsenberg</t>
  </si>
  <si>
    <t>349.864.5409x08379</t>
  </si>
  <si>
    <t>Timothy Bradshaw</t>
  </si>
  <si>
    <t>North Laura</t>
  </si>
  <si>
    <t>451-260-5312</t>
  </si>
  <si>
    <t>Patricia Hardy</t>
  </si>
  <si>
    <t>Thomasport</t>
  </si>
  <si>
    <t>076.687.3532x03467</t>
  </si>
  <si>
    <t>Lindsey Wagner</t>
  </si>
  <si>
    <t>Jessicaburgh</t>
  </si>
  <si>
    <t>(401)052-7584</t>
  </si>
  <si>
    <t>James Curry</t>
  </si>
  <si>
    <t>Port Johnside</t>
  </si>
  <si>
    <t>(223)043-8999x392</t>
  </si>
  <si>
    <t>Alexis Hayes</t>
  </si>
  <si>
    <t>Matthewmouth</t>
  </si>
  <si>
    <t>543-812-0534x6473</t>
  </si>
  <si>
    <t>Angelica Simmons</t>
  </si>
  <si>
    <t>Port Kellifort</t>
  </si>
  <si>
    <t>(902)942-8232</t>
  </si>
  <si>
    <t>Brittany Taylor</t>
  </si>
  <si>
    <t>Andrewsport</t>
  </si>
  <si>
    <t>296-568-7106x4981</t>
  </si>
  <si>
    <t>Matthew Curtis</t>
  </si>
  <si>
    <t>Lanechester</t>
  </si>
  <si>
    <t>127-889-4442x1289</t>
  </si>
  <si>
    <t>Amanda Cain</t>
  </si>
  <si>
    <t>New Steven</t>
  </si>
  <si>
    <t>+1-001-491-5601x5316</t>
  </si>
  <si>
    <t>Theodore Briggs</t>
  </si>
  <si>
    <t>South Sandra</t>
  </si>
  <si>
    <t>930-609-9442x5031</t>
  </si>
  <si>
    <t>Cheyenne Ramsey</t>
  </si>
  <si>
    <t>Lake Jeffery</t>
  </si>
  <si>
    <t>001-326-320-4816x15300</t>
  </si>
  <si>
    <t>April Miller</t>
  </si>
  <si>
    <t>Shelbychester</t>
  </si>
  <si>
    <t>894-873-2652x23999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</si>
</sst>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D8FB-546D-42CC-9007-6563DE04B3C9}">
  <dimension ref="A1:E10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4</v>
      </c>
      <c r="B5" t="s">
        <v>17</v>
      </c>
      <c r="C5" t="s">
        <v>14</v>
      </c>
      <c r="D5" t="s">
        <v>18</v>
      </c>
      <c r="E5">
        <v>8296491111</v>
      </c>
    </row>
    <row r="6" spans="1:5" x14ac:dyDescent="0.3">
      <c r="A6">
        <v>5</v>
      </c>
      <c r="B6" t="s">
        <v>19</v>
      </c>
      <c r="C6" t="s">
        <v>10</v>
      </c>
      <c r="D6" t="s">
        <v>20</v>
      </c>
      <c r="E6" t="s">
        <v>21</v>
      </c>
    </row>
    <row r="7" spans="1:5" x14ac:dyDescent="0.3">
      <c r="A7">
        <v>6</v>
      </c>
      <c r="B7" t="s">
        <v>22</v>
      </c>
      <c r="C7" t="s">
        <v>6</v>
      </c>
      <c r="D7" t="s">
        <v>23</v>
      </c>
      <c r="E7" t="s">
        <v>24</v>
      </c>
    </row>
    <row r="8" spans="1:5" x14ac:dyDescent="0.3">
      <c r="A8">
        <v>7</v>
      </c>
      <c r="B8" t="s">
        <v>25</v>
      </c>
      <c r="C8" t="s">
        <v>14</v>
      </c>
      <c r="D8" t="s">
        <v>26</v>
      </c>
      <c r="E8" t="s">
        <v>27</v>
      </c>
    </row>
    <row r="9" spans="1:5" x14ac:dyDescent="0.3">
      <c r="A9">
        <v>8</v>
      </c>
      <c r="B9" t="s">
        <v>28</v>
      </c>
      <c r="C9" t="s">
        <v>29</v>
      </c>
      <c r="D9" t="s">
        <v>30</v>
      </c>
      <c r="E9">
        <f>1-986-748-6688</f>
        <v>-8421</v>
      </c>
    </row>
    <row r="10" spans="1:5" x14ac:dyDescent="0.3">
      <c r="A10">
        <v>9</v>
      </c>
      <c r="B10" t="s">
        <v>31</v>
      </c>
      <c r="C10" t="s">
        <v>6</v>
      </c>
      <c r="D10" t="s">
        <v>32</v>
      </c>
      <c r="E10" t="s">
        <v>33</v>
      </c>
    </row>
    <row r="11" spans="1:5" x14ac:dyDescent="0.3">
      <c r="A11">
        <v>10</v>
      </c>
      <c r="B11" t="s">
        <v>34</v>
      </c>
      <c r="C11" t="s">
        <v>14</v>
      </c>
      <c r="D11" t="s">
        <v>35</v>
      </c>
      <c r="E11" t="s">
        <v>36</v>
      </c>
    </row>
    <row r="12" spans="1:5" x14ac:dyDescent="0.3">
      <c r="A12">
        <v>11</v>
      </c>
      <c r="B12" t="s">
        <v>37</v>
      </c>
      <c r="C12" t="s">
        <v>10</v>
      </c>
      <c r="D12" t="s">
        <v>38</v>
      </c>
      <c r="E12">
        <f>1-155-960-7276</f>
        <v>-8390</v>
      </c>
    </row>
    <row r="13" spans="1:5" x14ac:dyDescent="0.3">
      <c r="A13">
        <v>12</v>
      </c>
      <c r="B13" t="s">
        <v>39</v>
      </c>
      <c r="C13" t="s">
        <v>14</v>
      </c>
      <c r="D13" t="s">
        <v>40</v>
      </c>
      <c r="E13" t="s">
        <v>41</v>
      </c>
    </row>
    <row r="14" spans="1:5" x14ac:dyDescent="0.3">
      <c r="A14">
        <v>13</v>
      </c>
      <c r="B14" t="s">
        <v>42</v>
      </c>
      <c r="C14" t="s">
        <v>6</v>
      </c>
      <c r="D14" t="s">
        <v>43</v>
      </c>
      <c r="E14" t="s">
        <v>44</v>
      </c>
    </row>
    <row r="15" spans="1:5" x14ac:dyDescent="0.3">
      <c r="A15">
        <v>14</v>
      </c>
      <c r="B15" t="s">
        <v>45</v>
      </c>
      <c r="C15" t="s">
        <v>6</v>
      </c>
      <c r="D15" t="s">
        <v>46</v>
      </c>
      <c r="E15" t="s">
        <v>47</v>
      </c>
    </row>
    <row r="16" spans="1:5" x14ac:dyDescent="0.3">
      <c r="A16">
        <v>15</v>
      </c>
      <c r="B16" t="s">
        <v>48</v>
      </c>
      <c r="C16" t="s">
        <v>14</v>
      </c>
      <c r="D16" t="s">
        <v>49</v>
      </c>
      <c r="E16" t="s">
        <v>50</v>
      </c>
    </row>
    <row r="17" spans="1:5" x14ac:dyDescent="0.3">
      <c r="A17">
        <v>16</v>
      </c>
      <c r="B17" t="s">
        <v>51</v>
      </c>
      <c r="C17" t="s">
        <v>14</v>
      </c>
      <c r="D17" t="s">
        <v>52</v>
      </c>
      <c r="E17" t="s">
        <v>53</v>
      </c>
    </row>
    <row r="18" spans="1:5" x14ac:dyDescent="0.3">
      <c r="A18">
        <v>17</v>
      </c>
      <c r="B18" t="s">
        <v>54</v>
      </c>
      <c r="C18" t="s">
        <v>14</v>
      </c>
      <c r="D18" t="s">
        <v>55</v>
      </c>
      <c r="E18" t="s">
        <v>56</v>
      </c>
    </row>
    <row r="19" spans="1:5" x14ac:dyDescent="0.3">
      <c r="A19">
        <v>18</v>
      </c>
      <c r="B19" t="s">
        <v>57</v>
      </c>
      <c r="C19" t="s">
        <v>14</v>
      </c>
      <c r="D19" t="s">
        <v>58</v>
      </c>
      <c r="E19" t="s">
        <v>59</v>
      </c>
    </row>
    <row r="20" spans="1:5" x14ac:dyDescent="0.3">
      <c r="A20">
        <v>19</v>
      </c>
      <c r="B20" t="s">
        <v>60</v>
      </c>
      <c r="C20" t="s">
        <v>14</v>
      </c>
      <c r="D20" t="s">
        <v>61</v>
      </c>
      <c r="E20" t="s">
        <v>62</v>
      </c>
    </row>
    <row r="21" spans="1:5" x14ac:dyDescent="0.3">
      <c r="A21">
        <v>20</v>
      </c>
      <c r="B21" t="s">
        <v>63</v>
      </c>
      <c r="C21" t="s">
        <v>14</v>
      </c>
      <c r="D21" t="s">
        <v>64</v>
      </c>
      <c r="E21" t="s">
        <v>65</v>
      </c>
    </row>
    <row r="22" spans="1:5" x14ac:dyDescent="0.3">
      <c r="A22">
        <v>21</v>
      </c>
      <c r="B22" t="s">
        <v>66</v>
      </c>
      <c r="C22" t="s">
        <v>14</v>
      </c>
      <c r="D22" t="s">
        <v>67</v>
      </c>
      <c r="E22" t="s">
        <v>68</v>
      </c>
    </row>
    <row r="23" spans="1:5" x14ac:dyDescent="0.3">
      <c r="A23">
        <v>22</v>
      </c>
      <c r="B23" t="s">
        <v>69</v>
      </c>
      <c r="C23" t="s">
        <v>6</v>
      </c>
      <c r="D23" t="s">
        <v>70</v>
      </c>
      <c r="E23">
        <f>1-125-160-319</f>
        <v>-603</v>
      </c>
    </row>
    <row r="24" spans="1:5" x14ac:dyDescent="0.3">
      <c r="A24">
        <v>23</v>
      </c>
      <c r="B24" t="s">
        <v>71</v>
      </c>
      <c r="C24" t="s">
        <v>10</v>
      </c>
      <c r="D24" t="s">
        <v>72</v>
      </c>
      <c r="E24" t="s">
        <v>73</v>
      </c>
    </row>
    <row r="25" spans="1:5" x14ac:dyDescent="0.3">
      <c r="A25">
        <v>24</v>
      </c>
      <c r="B25" t="s">
        <v>74</v>
      </c>
      <c r="C25" t="s">
        <v>10</v>
      </c>
      <c r="D25" t="s">
        <v>75</v>
      </c>
      <c r="E25" t="s">
        <v>76</v>
      </c>
    </row>
    <row r="26" spans="1:5" x14ac:dyDescent="0.3">
      <c r="A26">
        <v>25</v>
      </c>
      <c r="B26" t="s">
        <v>77</v>
      </c>
      <c r="C26" t="s">
        <v>14</v>
      </c>
      <c r="D26" t="s">
        <v>78</v>
      </c>
      <c r="E26" t="s">
        <v>79</v>
      </c>
    </row>
    <row r="27" spans="1:5" x14ac:dyDescent="0.3">
      <c r="A27">
        <v>26</v>
      </c>
      <c r="B27" t="s">
        <v>80</v>
      </c>
      <c r="C27" t="s">
        <v>29</v>
      </c>
      <c r="D27" t="s">
        <v>81</v>
      </c>
      <c r="E27" t="s">
        <v>82</v>
      </c>
    </row>
    <row r="28" spans="1:5" x14ac:dyDescent="0.3">
      <c r="A28">
        <v>27</v>
      </c>
      <c r="B28" t="s">
        <v>83</v>
      </c>
      <c r="C28" t="s">
        <v>14</v>
      </c>
      <c r="D28" t="s">
        <v>84</v>
      </c>
      <c r="E28" t="s">
        <v>85</v>
      </c>
    </row>
    <row r="29" spans="1:5" x14ac:dyDescent="0.3">
      <c r="A29">
        <v>28</v>
      </c>
      <c r="B29" t="s">
        <v>86</v>
      </c>
      <c r="C29" t="s">
        <v>10</v>
      </c>
      <c r="D29" t="s">
        <v>87</v>
      </c>
      <c r="E29" t="s">
        <v>88</v>
      </c>
    </row>
    <row r="30" spans="1:5" x14ac:dyDescent="0.3">
      <c r="A30">
        <v>29</v>
      </c>
      <c r="B30" t="s">
        <v>89</v>
      </c>
      <c r="C30" t="s">
        <v>14</v>
      </c>
      <c r="D30" t="s">
        <v>90</v>
      </c>
      <c r="E30" t="s">
        <v>91</v>
      </c>
    </row>
    <row r="31" spans="1:5" x14ac:dyDescent="0.3">
      <c r="A31">
        <v>30</v>
      </c>
      <c r="B31" t="s">
        <v>92</v>
      </c>
      <c r="C31" t="s">
        <v>6</v>
      </c>
      <c r="D31" t="s">
        <v>93</v>
      </c>
      <c r="E31" t="s">
        <v>94</v>
      </c>
    </row>
    <row r="32" spans="1:5" x14ac:dyDescent="0.3">
      <c r="A32">
        <v>31</v>
      </c>
      <c r="B32" t="s">
        <v>95</v>
      </c>
      <c r="C32" t="s">
        <v>14</v>
      </c>
      <c r="D32" t="s">
        <v>96</v>
      </c>
      <c r="E32" t="s">
        <v>97</v>
      </c>
    </row>
    <row r="33" spans="1:5" x14ac:dyDescent="0.3">
      <c r="A33">
        <v>32</v>
      </c>
      <c r="B33" t="s">
        <v>98</v>
      </c>
      <c r="C33" t="s">
        <v>10</v>
      </c>
      <c r="D33" t="s">
        <v>99</v>
      </c>
      <c r="E33" t="s">
        <v>100</v>
      </c>
    </row>
    <row r="34" spans="1:5" x14ac:dyDescent="0.3">
      <c r="A34">
        <v>33</v>
      </c>
      <c r="B34" t="s">
        <v>101</v>
      </c>
      <c r="C34" t="s">
        <v>14</v>
      </c>
      <c r="D34" t="s">
        <v>102</v>
      </c>
      <c r="E34" t="s">
        <v>103</v>
      </c>
    </row>
    <row r="35" spans="1:5" x14ac:dyDescent="0.3">
      <c r="A35">
        <v>34</v>
      </c>
      <c r="B35" t="s">
        <v>104</v>
      </c>
      <c r="C35" t="s">
        <v>10</v>
      </c>
      <c r="D35" t="s">
        <v>105</v>
      </c>
      <c r="E35">
        <v>6244329386</v>
      </c>
    </row>
    <row r="36" spans="1:5" x14ac:dyDescent="0.3">
      <c r="A36">
        <v>35</v>
      </c>
      <c r="B36" t="s">
        <v>106</v>
      </c>
      <c r="C36" t="s">
        <v>6</v>
      </c>
      <c r="D36" t="s">
        <v>107</v>
      </c>
      <c r="E36" t="s">
        <v>108</v>
      </c>
    </row>
    <row r="37" spans="1:5" x14ac:dyDescent="0.3">
      <c r="A37">
        <v>36</v>
      </c>
      <c r="B37" t="s">
        <v>109</v>
      </c>
      <c r="C37" t="s">
        <v>29</v>
      </c>
      <c r="D37" t="s">
        <v>110</v>
      </c>
      <c r="E37" t="s">
        <v>111</v>
      </c>
    </row>
    <row r="38" spans="1:5" x14ac:dyDescent="0.3">
      <c r="A38">
        <v>37</v>
      </c>
      <c r="B38" t="s">
        <v>112</v>
      </c>
      <c r="C38" t="s">
        <v>6</v>
      </c>
      <c r="D38" t="s">
        <v>113</v>
      </c>
      <c r="E38" t="s">
        <v>114</v>
      </c>
    </row>
    <row r="39" spans="1:5" x14ac:dyDescent="0.3">
      <c r="A39">
        <v>38</v>
      </c>
      <c r="B39" t="s">
        <v>115</v>
      </c>
      <c r="C39" t="s">
        <v>29</v>
      </c>
      <c r="D39" t="s">
        <v>116</v>
      </c>
      <c r="E39" t="s">
        <v>117</v>
      </c>
    </row>
    <row r="40" spans="1:5" x14ac:dyDescent="0.3">
      <c r="A40">
        <v>39</v>
      </c>
      <c r="B40" t="s">
        <v>118</v>
      </c>
      <c r="C40" t="s">
        <v>6</v>
      </c>
      <c r="D40" t="s">
        <v>119</v>
      </c>
      <c r="E40" t="s">
        <v>120</v>
      </c>
    </row>
    <row r="41" spans="1:5" x14ac:dyDescent="0.3">
      <c r="A41">
        <v>40</v>
      </c>
      <c r="B41" t="s">
        <v>121</v>
      </c>
      <c r="C41" t="s">
        <v>10</v>
      </c>
      <c r="D41" t="s">
        <v>122</v>
      </c>
      <c r="E41" t="s">
        <v>123</v>
      </c>
    </row>
    <row r="42" spans="1:5" x14ac:dyDescent="0.3">
      <c r="A42">
        <v>41</v>
      </c>
      <c r="B42" t="s">
        <v>124</v>
      </c>
      <c r="C42" t="s">
        <v>6</v>
      </c>
      <c r="D42" t="s">
        <v>125</v>
      </c>
      <c r="E42" t="s">
        <v>126</v>
      </c>
    </row>
    <row r="43" spans="1:5" x14ac:dyDescent="0.3">
      <c r="A43">
        <v>42</v>
      </c>
      <c r="B43" t="s">
        <v>127</v>
      </c>
      <c r="C43" t="s">
        <v>14</v>
      </c>
      <c r="D43" t="s">
        <v>128</v>
      </c>
      <c r="E43" t="s">
        <v>129</v>
      </c>
    </row>
    <row r="44" spans="1:5" x14ac:dyDescent="0.3">
      <c r="A44">
        <v>43</v>
      </c>
      <c r="B44" t="s">
        <v>130</v>
      </c>
      <c r="C44" t="s">
        <v>29</v>
      </c>
      <c r="D44" t="s">
        <v>131</v>
      </c>
      <c r="E44" t="s">
        <v>132</v>
      </c>
    </row>
    <row r="45" spans="1:5" x14ac:dyDescent="0.3">
      <c r="A45">
        <v>44</v>
      </c>
      <c r="B45" t="s">
        <v>133</v>
      </c>
      <c r="C45" t="s">
        <v>6</v>
      </c>
      <c r="D45" t="s">
        <v>134</v>
      </c>
      <c r="E45" t="s">
        <v>135</v>
      </c>
    </row>
    <row r="46" spans="1:5" x14ac:dyDescent="0.3">
      <c r="A46">
        <v>45</v>
      </c>
      <c r="B46" t="s">
        <v>136</v>
      </c>
      <c r="C46" t="s">
        <v>29</v>
      </c>
      <c r="D46" t="s">
        <v>137</v>
      </c>
      <c r="E46" t="s">
        <v>138</v>
      </c>
    </row>
    <row r="47" spans="1:5" x14ac:dyDescent="0.3">
      <c r="A47">
        <v>46</v>
      </c>
      <c r="B47" t="s">
        <v>139</v>
      </c>
      <c r="C47" t="s">
        <v>29</v>
      </c>
      <c r="D47" t="s">
        <v>140</v>
      </c>
      <c r="E47" t="s">
        <v>141</v>
      </c>
    </row>
    <row r="48" spans="1:5" x14ac:dyDescent="0.3">
      <c r="A48">
        <v>47</v>
      </c>
      <c r="B48" t="s">
        <v>142</v>
      </c>
      <c r="C48" t="s">
        <v>6</v>
      </c>
      <c r="D48" t="s">
        <v>119</v>
      </c>
      <c r="E48" t="s">
        <v>143</v>
      </c>
    </row>
    <row r="49" spans="1:5" x14ac:dyDescent="0.3">
      <c r="A49">
        <v>48</v>
      </c>
      <c r="B49" t="s">
        <v>144</v>
      </c>
      <c r="C49" t="s">
        <v>10</v>
      </c>
      <c r="D49" t="s">
        <v>145</v>
      </c>
      <c r="E49" t="s">
        <v>146</v>
      </c>
    </row>
    <row r="50" spans="1:5" x14ac:dyDescent="0.3">
      <c r="A50">
        <v>49</v>
      </c>
      <c r="B50" t="s">
        <v>147</v>
      </c>
      <c r="C50" t="s">
        <v>29</v>
      </c>
      <c r="D50" t="s">
        <v>148</v>
      </c>
      <c r="E50" t="s">
        <v>149</v>
      </c>
    </row>
    <row r="51" spans="1:5" x14ac:dyDescent="0.3">
      <c r="A51">
        <v>50</v>
      </c>
      <c r="B51" t="s">
        <v>150</v>
      </c>
      <c r="C51" t="s">
        <v>14</v>
      </c>
      <c r="D51" t="s">
        <v>151</v>
      </c>
      <c r="E51" t="s">
        <v>152</v>
      </c>
    </row>
    <row r="52" spans="1:5" x14ac:dyDescent="0.3">
      <c r="A52">
        <v>51</v>
      </c>
      <c r="B52" t="s">
        <v>153</v>
      </c>
      <c r="C52" t="s">
        <v>29</v>
      </c>
      <c r="D52" t="s">
        <v>154</v>
      </c>
      <c r="E52" t="s">
        <v>155</v>
      </c>
    </row>
    <row r="53" spans="1:5" x14ac:dyDescent="0.3">
      <c r="A53">
        <v>52</v>
      </c>
      <c r="B53" t="s">
        <v>156</v>
      </c>
      <c r="C53" t="s">
        <v>14</v>
      </c>
      <c r="D53" t="s">
        <v>157</v>
      </c>
      <c r="E53" t="s">
        <v>158</v>
      </c>
    </row>
    <row r="54" spans="1:5" x14ac:dyDescent="0.3">
      <c r="A54">
        <v>53</v>
      </c>
      <c r="B54" t="s">
        <v>159</v>
      </c>
      <c r="C54" t="s">
        <v>6</v>
      </c>
      <c r="D54" t="s">
        <v>160</v>
      </c>
      <c r="E54" t="s">
        <v>161</v>
      </c>
    </row>
    <row r="55" spans="1:5" x14ac:dyDescent="0.3">
      <c r="A55">
        <v>54</v>
      </c>
      <c r="B55" t="s">
        <v>162</v>
      </c>
      <c r="C55" t="s">
        <v>14</v>
      </c>
      <c r="D55" t="s">
        <v>163</v>
      </c>
      <c r="E55" t="s">
        <v>164</v>
      </c>
    </row>
    <row r="56" spans="1:5" x14ac:dyDescent="0.3">
      <c r="A56">
        <v>55</v>
      </c>
      <c r="B56" t="s">
        <v>165</v>
      </c>
      <c r="C56" t="s">
        <v>6</v>
      </c>
      <c r="D56" t="s">
        <v>166</v>
      </c>
      <c r="E56" t="s">
        <v>167</v>
      </c>
    </row>
    <row r="57" spans="1:5" x14ac:dyDescent="0.3">
      <c r="A57">
        <v>56</v>
      </c>
      <c r="B57" t="s">
        <v>168</v>
      </c>
      <c r="C57" t="s">
        <v>10</v>
      </c>
      <c r="D57" t="s">
        <v>169</v>
      </c>
      <c r="E57" t="s">
        <v>170</v>
      </c>
    </row>
    <row r="58" spans="1:5" x14ac:dyDescent="0.3">
      <c r="A58">
        <v>57</v>
      </c>
      <c r="B58" t="s">
        <v>171</v>
      </c>
      <c r="C58" t="s">
        <v>10</v>
      </c>
      <c r="D58" t="s">
        <v>172</v>
      </c>
      <c r="E58" t="s">
        <v>173</v>
      </c>
    </row>
    <row r="59" spans="1:5" x14ac:dyDescent="0.3">
      <c r="A59">
        <v>58</v>
      </c>
      <c r="B59" t="s">
        <v>174</v>
      </c>
      <c r="C59" t="s">
        <v>6</v>
      </c>
      <c r="D59" t="s">
        <v>175</v>
      </c>
      <c r="E59" t="s">
        <v>176</v>
      </c>
    </row>
    <row r="60" spans="1:5" x14ac:dyDescent="0.3">
      <c r="A60">
        <v>59</v>
      </c>
      <c r="B60" t="s">
        <v>177</v>
      </c>
      <c r="C60" t="s">
        <v>29</v>
      </c>
      <c r="D60" t="s">
        <v>178</v>
      </c>
      <c r="E60" t="s">
        <v>179</v>
      </c>
    </row>
    <row r="61" spans="1:5" x14ac:dyDescent="0.3">
      <c r="A61">
        <v>60</v>
      </c>
      <c r="B61" t="s">
        <v>180</v>
      </c>
      <c r="C61" t="s">
        <v>14</v>
      </c>
      <c r="D61" t="s">
        <v>181</v>
      </c>
      <c r="E61" t="s">
        <v>182</v>
      </c>
    </row>
    <row r="62" spans="1:5" x14ac:dyDescent="0.3">
      <c r="A62">
        <v>61</v>
      </c>
      <c r="B62" t="s">
        <v>183</v>
      </c>
      <c r="C62" t="s">
        <v>29</v>
      </c>
      <c r="D62" t="s">
        <v>184</v>
      </c>
      <c r="E62" t="s">
        <v>185</v>
      </c>
    </row>
    <row r="63" spans="1:5" x14ac:dyDescent="0.3">
      <c r="A63">
        <v>62</v>
      </c>
      <c r="B63" t="s">
        <v>186</v>
      </c>
      <c r="C63" t="s">
        <v>14</v>
      </c>
      <c r="D63" t="s">
        <v>187</v>
      </c>
      <c r="E63" t="s">
        <v>188</v>
      </c>
    </row>
    <row r="64" spans="1:5" x14ac:dyDescent="0.3">
      <c r="A64">
        <v>63</v>
      </c>
      <c r="B64" t="s">
        <v>189</v>
      </c>
      <c r="C64" t="s">
        <v>29</v>
      </c>
      <c r="D64" t="s">
        <v>190</v>
      </c>
      <c r="E64">
        <v>4456052297</v>
      </c>
    </row>
    <row r="65" spans="1:5" x14ac:dyDescent="0.3">
      <c r="A65">
        <v>64</v>
      </c>
      <c r="B65" t="s">
        <v>191</v>
      </c>
      <c r="C65" t="s">
        <v>6</v>
      </c>
      <c r="D65" t="s">
        <v>192</v>
      </c>
      <c r="E65" t="s">
        <v>193</v>
      </c>
    </row>
    <row r="66" spans="1:5" x14ac:dyDescent="0.3">
      <c r="A66">
        <v>65</v>
      </c>
      <c r="B66" t="s">
        <v>194</v>
      </c>
      <c r="C66" t="s">
        <v>14</v>
      </c>
      <c r="D66" t="s">
        <v>195</v>
      </c>
      <c r="E66" t="s">
        <v>196</v>
      </c>
    </row>
    <row r="67" spans="1:5" x14ac:dyDescent="0.3">
      <c r="A67">
        <v>66</v>
      </c>
      <c r="B67" t="s">
        <v>197</v>
      </c>
      <c r="C67" t="s">
        <v>10</v>
      </c>
      <c r="D67" t="s">
        <v>198</v>
      </c>
      <c r="E67" t="s">
        <v>199</v>
      </c>
    </row>
    <row r="68" spans="1:5" x14ac:dyDescent="0.3">
      <c r="A68">
        <v>67</v>
      </c>
      <c r="B68" t="s">
        <v>200</v>
      </c>
      <c r="C68" t="s">
        <v>6</v>
      </c>
      <c r="D68" t="s">
        <v>201</v>
      </c>
      <c r="E68" t="s">
        <v>202</v>
      </c>
    </row>
    <row r="69" spans="1:5" x14ac:dyDescent="0.3">
      <c r="A69">
        <v>68</v>
      </c>
      <c r="B69" t="s">
        <v>203</v>
      </c>
      <c r="C69" t="s">
        <v>29</v>
      </c>
      <c r="D69" t="s">
        <v>204</v>
      </c>
      <c r="E69" t="s">
        <v>205</v>
      </c>
    </row>
    <row r="70" spans="1:5" x14ac:dyDescent="0.3">
      <c r="A70">
        <v>69</v>
      </c>
      <c r="B70" t="s">
        <v>206</v>
      </c>
      <c r="C70" t="s">
        <v>14</v>
      </c>
      <c r="D70" t="s">
        <v>207</v>
      </c>
      <c r="E70" t="s">
        <v>208</v>
      </c>
    </row>
    <row r="71" spans="1:5" x14ac:dyDescent="0.3">
      <c r="A71">
        <v>70</v>
      </c>
      <c r="B71" t="s">
        <v>209</v>
      </c>
      <c r="C71" t="s">
        <v>10</v>
      </c>
      <c r="D71" t="s">
        <v>210</v>
      </c>
      <c r="E71">
        <v>6651783261</v>
      </c>
    </row>
    <row r="72" spans="1:5" x14ac:dyDescent="0.3">
      <c r="A72">
        <v>71</v>
      </c>
      <c r="B72" t="s">
        <v>211</v>
      </c>
      <c r="C72" t="s">
        <v>29</v>
      </c>
      <c r="D72" t="s">
        <v>212</v>
      </c>
      <c r="E72" t="s">
        <v>213</v>
      </c>
    </row>
    <row r="73" spans="1:5" x14ac:dyDescent="0.3">
      <c r="A73">
        <v>72</v>
      </c>
      <c r="B73" t="s">
        <v>214</v>
      </c>
      <c r="C73" t="s">
        <v>6</v>
      </c>
      <c r="D73" t="s">
        <v>215</v>
      </c>
      <c r="E73">
        <f>1-294-698-2957</f>
        <v>-3948</v>
      </c>
    </row>
    <row r="74" spans="1:5" x14ac:dyDescent="0.3">
      <c r="A74">
        <v>73</v>
      </c>
      <c r="B74" t="s">
        <v>216</v>
      </c>
      <c r="C74" t="s">
        <v>14</v>
      </c>
      <c r="D74" t="s">
        <v>217</v>
      </c>
      <c r="E74" t="s">
        <v>218</v>
      </c>
    </row>
    <row r="75" spans="1:5" x14ac:dyDescent="0.3">
      <c r="A75">
        <v>74</v>
      </c>
      <c r="B75" t="s">
        <v>219</v>
      </c>
      <c r="C75" t="s">
        <v>14</v>
      </c>
      <c r="D75" t="s">
        <v>220</v>
      </c>
      <c r="E75" t="s">
        <v>221</v>
      </c>
    </row>
    <row r="76" spans="1:5" x14ac:dyDescent="0.3">
      <c r="A76">
        <v>75</v>
      </c>
      <c r="B76" t="s">
        <v>222</v>
      </c>
      <c r="C76" t="s">
        <v>29</v>
      </c>
      <c r="D76" t="s">
        <v>223</v>
      </c>
      <c r="E76">
        <f>1-605-970-1115</f>
        <v>-2689</v>
      </c>
    </row>
    <row r="77" spans="1:5" x14ac:dyDescent="0.3">
      <c r="A77">
        <v>76</v>
      </c>
      <c r="B77" t="s">
        <v>224</v>
      </c>
      <c r="C77" t="s">
        <v>10</v>
      </c>
      <c r="D77" t="s">
        <v>225</v>
      </c>
      <c r="E77" t="s">
        <v>226</v>
      </c>
    </row>
    <row r="78" spans="1:5" x14ac:dyDescent="0.3">
      <c r="A78">
        <v>77</v>
      </c>
      <c r="B78" t="s">
        <v>227</v>
      </c>
      <c r="C78" t="s">
        <v>10</v>
      </c>
      <c r="D78" t="s">
        <v>228</v>
      </c>
      <c r="E78" t="s">
        <v>229</v>
      </c>
    </row>
    <row r="79" spans="1:5" x14ac:dyDescent="0.3">
      <c r="A79">
        <v>78</v>
      </c>
      <c r="B79" t="s">
        <v>230</v>
      </c>
      <c r="C79" t="s">
        <v>6</v>
      </c>
      <c r="D79" t="s">
        <v>231</v>
      </c>
      <c r="E79" t="s">
        <v>232</v>
      </c>
    </row>
    <row r="80" spans="1:5" x14ac:dyDescent="0.3">
      <c r="A80">
        <v>79</v>
      </c>
      <c r="B80" t="s">
        <v>233</v>
      </c>
      <c r="C80" t="s">
        <v>29</v>
      </c>
      <c r="D80" t="s">
        <v>234</v>
      </c>
      <c r="E80" t="s">
        <v>235</v>
      </c>
    </row>
    <row r="81" spans="1:5" x14ac:dyDescent="0.3">
      <c r="A81">
        <v>80</v>
      </c>
      <c r="B81" t="s">
        <v>236</v>
      </c>
      <c r="C81" t="s">
        <v>10</v>
      </c>
      <c r="D81" t="s">
        <v>237</v>
      </c>
      <c r="E81">
        <v>7326023388</v>
      </c>
    </row>
    <row r="82" spans="1:5" x14ac:dyDescent="0.3">
      <c r="A82">
        <v>81</v>
      </c>
      <c r="B82" t="s">
        <v>238</v>
      </c>
      <c r="C82" t="s">
        <v>14</v>
      </c>
      <c r="D82" t="s">
        <v>239</v>
      </c>
      <c r="E82" t="s">
        <v>240</v>
      </c>
    </row>
    <row r="83" spans="1:5" x14ac:dyDescent="0.3">
      <c r="A83">
        <v>82</v>
      </c>
      <c r="B83" t="s">
        <v>241</v>
      </c>
      <c r="C83" t="s">
        <v>14</v>
      </c>
      <c r="D83" t="s">
        <v>242</v>
      </c>
      <c r="E83" t="s">
        <v>243</v>
      </c>
    </row>
    <row r="84" spans="1:5" x14ac:dyDescent="0.3">
      <c r="A84">
        <v>83</v>
      </c>
      <c r="B84" t="s">
        <v>244</v>
      </c>
      <c r="C84" t="s">
        <v>14</v>
      </c>
      <c r="D84" t="s">
        <v>245</v>
      </c>
      <c r="E84" t="s">
        <v>246</v>
      </c>
    </row>
    <row r="85" spans="1:5" x14ac:dyDescent="0.3">
      <c r="A85">
        <v>84</v>
      </c>
      <c r="B85" t="s">
        <v>247</v>
      </c>
      <c r="C85" t="s">
        <v>14</v>
      </c>
      <c r="D85" t="s">
        <v>248</v>
      </c>
      <c r="E85">
        <v>938550061</v>
      </c>
    </row>
    <row r="86" spans="1:5" x14ac:dyDescent="0.3">
      <c r="A86">
        <v>85</v>
      </c>
      <c r="B86" t="s">
        <v>249</v>
      </c>
      <c r="C86" t="s">
        <v>29</v>
      </c>
      <c r="D86" t="s">
        <v>250</v>
      </c>
      <c r="E86">
        <v>3024932900</v>
      </c>
    </row>
    <row r="87" spans="1:5" x14ac:dyDescent="0.3">
      <c r="A87">
        <v>86</v>
      </c>
      <c r="B87" t="s">
        <v>251</v>
      </c>
      <c r="C87" t="s">
        <v>29</v>
      </c>
      <c r="D87" t="s">
        <v>252</v>
      </c>
      <c r="E87" t="s">
        <v>253</v>
      </c>
    </row>
    <row r="88" spans="1:5" x14ac:dyDescent="0.3">
      <c r="A88">
        <v>87</v>
      </c>
      <c r="B88" t="s">
        <v>254</v>
      </c>
      <c r="C88" t="s">
        <v>29</v>
      </c>
      <c r="D88" t="s">
        <v>255</v>
      </c>
      <c r="E88" t="s">
        <v>256</v>
      </c>
    </row>
    <row r="89" spans="1:5" x14ac:dyDescent="0.3">
      <c r="A89">
        <v>88</v>
      </c>
      <c r="B89" t="s">
        <v>257</v>
      </c>
      <c r="C89" t="s">
        <v>14</v>
      </c>
      <c r="D89" t="s">
        <v>258</v>
      </c>
      <c r="E89" t="s">
        <v>259</v>
      </c>
    </row>
    <row r="90" spans="1:5" x14ac:dyDescent="0.3">
      <c r="A90">
        <v>89</v>
      </c>
      <c r="B90" t="s">
        <v>260</v>
      </c>
      <c r="C90" t="s">
        <v>10</v>
      </c>
      <c r="D90" t="s">
        <v>261</v>
      </c>
      <c r="E90" t="s">
        <v>262</v>
      </c>
    </row>
    <row r="91" spans="1:5" x14ac:dyDescent="0.3">
      <c r="A91">
        <v>90</v>
      </c>
      <c r="B91" t="s">
        <v>263</v>
      </c>
      <c r="C91" t="s">
        <v>6</v>
      </c>
      <c r="D91" t="s">
        <v>264</v>
      </c>
      <c r="E91" t="s">
        <v>265</v>
      </c>
    </row>
    <row r="92" spans="1:5" x14ac:dyDescent="0.3">
      <c r="A92">
        <v>91</v>
      </c>
      <c r="B92" t="s">
        <v>266</v>
      </c>
      <c r="C92" t="s">
        <v>29</v>
      </c>
      <c r="D92" t="s">
        <v>267</v>
      </c>
      <c r="E92" t="s">
        <v>268</v>
      </c>
    </row>
    <row r="93" spans="1:5" x14ac:dyDescent="0.3">
      <c r="A93">
        <v>92</v>
      </c>
      <c r="B93" t="s">
        <v>269</v>
      </c>
      <c r="C93" t="s">
        <v>14</v>
      </c>
      <c r="D93" t="s">
        <v>270</v>
      </c>
      <c r="E93" t="s">
        <v>271</v>
      </c>
    </row>
    <row r="94" spans="1:5" x14ac:dyDescent="0.3">
      <c r="A94">
        <v>93</v>
      </c>
      <c r="B94" t="s">
        <v>272</v>
      </c>
      <c r="C94" t="s">
        <v>10</v>
      </c>
      <c r="D94" t="s">
        <v>273</v>
      </c>
      <c r="E94" t="s">
        <v>274</v>
      </c>
    </row>
    <row r="95" spans="1:5" x14ac:dyDescent="0.3">
      <c r="A95">
        <v>94</v>
      </c>
      <c r="B95" t="s">
        <v>275</v>
      </c>
      <c r="C95" t="s">
        <v>29</v>
      </c>
      <c r="D95" t="s">
        <v>276</v>
      </c>
      <c r="E95" t="s">
        <v>277</v>
      </c>
    </row>
    <row r="96" spans="1:5" x14ac:dyDescent="0.3">
      <c r="A96">
        <v>95</v>
      </c>
      <c r="B96" t="s">
        <v>278</v>
      </c>
      <c r="C96" t="s">
        <v>14</v>
      </c>
      <c r="D96" t="s">
        <v>279</v>
      </c>
      <c r="E96" t="s">
        <v>280</v>
      </c>
    </row>
    <row r="97" spans="1:5" x14ac:dyDescent="0.3">
      <c r="A97">
        <v>96</v>
      </c>
      <c r="B97" t="s">
        <v>281</v>
      </c>
      <c r="C97" t="s">
        <v>10</v>
      </c>
      <c r="D97" t="s">
        <v>282</v>
      </c>
      <c r="E97" t="s">
        <v>283</v>
      </c>
    </row>
    <row r="98" spans="1:5" x14ac:dyDescent="0.3">
      <c r="A98">
        <v>97</v>
      </c>
      <c r="B98" t="s">
        <v>284</v>
      </c>
      <c r="C98" t="s">
        <v>29</v>
      </c>
      <c r="D98" t="s">
        <v>285</v>
      </c>
      <c r="E98" t="s">
        <v>286</v>
      </c>
    </row>
    <row r="99" spans="1:5" x14ac:dyDescent="0.3">
      <c r="A99">
        <v>98</v>
      </c>
      <c r="B99" t="s">
        <v>287</v>
      </c>
      <c r="C99" t="s">
        <v>10</v>
      </c>
      <c r="D99" t="s">
        <v>288</v>
      </c>
      <c r="E99" t="s">
        <v>289</v>
      </c>
    </row>
    <row r="100" spans="1:5" x14ac:dyDescent="0.3">
      <c r="A100">
        <v>99</v>
      </c>
      <c r="B100" t="s">
        <v>290</v>
      </c>
      <c r="C100" t="s">
        <v>10</v>
      </c>
      <c r="D100" t="s">
        <v>291</v>
      </c>
      <c r="E100" t="s">
        <v>292</v>
      </c>
    </row>
    <row r="101" spans="1:5" x14ac:dyDescent="0.3">
      <c r="A101">
        <v>100</v>
      </c>
      <c r="B101" t="s">
        <v>293</v>
      </c>
      <c r="C101" t="s">
        <v>14</v>
      </c>
      <c r="D101" t="s">
        <v>294</v>
      </c>
      <c r="E101" t="s">
        <v>295</v>
      </c>
    </row>
    <row r="102" spans="1:5" x14ac:dyDescent="0.3">
      <c r="A102">
        <v>101</v>
      </c>
      <c r="B102" t="s">
        <v>296</v>
      </c>
      <c r="C102" t="s">
        <v>6</v>
      </c>
      <c r="D102" t="s">
        <v>297</v>
      </c>
      <c r="E102" t="s">
        <v>298</v>
      </c>
    </row>
    <row r="103" spans="1:5" x14ac:dyDescent="0.3">
      <c r="A103">
        <v>102</v>
      </c>
      <c r="B103" t="s">
        <v>299</v>
      </c>
      <c r="C103" t="s">
        <v>10</v>
      </c>
      <c r="D103" t="s">
        <v>300</v>
      </c>
      <c r="E103" t="s">
        <v>301</v>
      </c>
    </row>
    <row r="104" spans="1:5" x14ac:dyDescent="0.3">
      <c r="A104">
        <v>103</v>
      </c>
      <c r="B104" t="s">
        <v>302</v>
      </c>
      <c r="C104" t="s">
        <v>10</v>
      </c>
      <c r="D104" t="s">
        <v>303</v>
      </c>
      <c r="E104" t="s">
        <v>304</v>
      </c>
    </row>
    <row r="105" spans="1:5" x14ac:dyDescent="0.3">
      <c r="A105">
        <v>104</v>
      </c>
      <c r="B105" t="s">
        <v>305</v>
      </c>
      <c r="C105" t="s">
        <v>29</v>
      </c>
      <c r="D105" t="s">
        <v>306</v>
      </c>
      <c r="E105" t="s">
        <v>307</v>
      </c>
    </row>
    <row r="106" spans="1:5" x14ac:dyDescent="0.3">
      <c r="A106">
        <v>105</v>
      </c>
      <c r="B106" t="s">
        <v>308</v>
      </c>
      <c r="C106" t="s">
        <v>14</v>
      </c>
      <c r="D106" t="s">
        <v>309</v>
      </c>
      <c r="E106" t="s">
        <v>310</v>
      </c>
    </row>
    <row r="107" spans="1:5" x14ac:dyDescent="0.3">
      <c r="A107">
        <v>106</v>
      </c>
      <c r="B107" t="s">
        <v>311</v>
      </c>
      <c r="C107" t="s">
        <v>10</v>
      </c>
      <c r="D107" t="s">
        <v>312</v>
      </c>
      <c r="E107" t="s">
        <v>313</v>
      </c>
    </row>
    <row r="108" spans="1:5" x14ac:dyDescent="0.3">
      <c r="A108">
        <v>107</v>
      </c>
      <c r="B108" t="s">
        <v>314</v>
      </c>
      <c r="C108" t="s">
        <v>14</v>
      </c>
      <c r="D108" t="s">
        <v>315</v>
      </c>
      <c r="E108" t="s">
        <v>316</v>
      </c>
    </row>
    <row r="109" spans="1:5" x14ac:dyDescent="0.3">
      <c r="A109">
        <v>108</v>
      </c>
      <c r="B109" t="s">
        <v>317</v>
      </c>
      <c r="C109" t="s">
        <v>14</v>
      </c>
      <c r="D109" t="s">
        <v>318</v>
      </c>
      <c r="E109" t="s">
        <v>319</v>
      </c>
    </row>
    <row r="110" spans="1:5" x14ac:dyDescent="0.3">
      <c r="A110">
        <v>109</v>
      </c>
      <c r="B110" t="s">
        <v>320</v>
      </c>
      <c r="C110" t="s">
        <v>14</v>
      </c>
      <c r="D110" t="s">
        <v>321</v>
      </c>
      <c r="E110" t="s">
        <v>322</v>
      </c>
    </row>
    <row r="111" spans="1:5" x14ac:dyDescent="0.3">
      <c r="A111">
        <v>110</v>
      </c>
      <c r="B111" t="s">
        <v>323</v>
      </c>
      <c r="C111" t="s">
        <v>14</v>
      </c>
      <c r="D111" t="s">
        <v>324</v>
      </c>
      <c r="E111" t="s">
        <v>325</v>
      </c>
    </row>
    <row r="112" spans="1:5" x14ac:dyDescent="0.3">
      <c r="A112">
        <v>111</v>
      </c>
      <c r="B112" t="s">
        <v>326</v>
      </c>
      <c r="C112" t="s">
        <v>14</v>
      </c>
      <c r="D112" t="s">
        <v>327</v>
      </c>
      <c r="E112">
        <v>6692949581</v>
      </c>
    </row>
    <row r="113" spans="1:5" x14ac:dyDescent="0.3">
      <c r="A113">
        <v>112</v>
      </c>
      <c r="B113" t="s">
        <v>328</v>
      </c>
      <c r="C113" t="s">
        <v>10</v>
      </c>
      <c r="D113" t="s">
        <v>329</v>
      </c>
      <c r="E113" t="s">
        <v>330</v>
      </c>
    </row>
    <row r="114" spans="1:5" x14ac:dyDescent="0.3">
      <c r="A114">
        <v>113</v>
      </c>
      <c r="B114" t="s">
        <v>331</v>
      </c>
      <c r="C114" t="s">
        <v>6</v>
      </c>
      <c r="D114" t="s">
        <v>332</v>
      </c>
      <c r="E114" t="s">
        <v>333</v>
      </c>
    </row>
    <row r="115" spans="1:5" x14ac:dyDescent="0.3">
      <c r="A115">
        <v>114</v>
      </c>
      <c r="B115" t="s">
        <v>334</v>
      </c>
      <c r="C115" t="s">
        <v>14</v>
      </c>
      <c r="D115" t="s">
        <v>335</v>
      </c>
      <c r="E115" t="s">
        <v>336</v>
      </c>
    </row>
    <row r="116" spans="1:5" x14ac:dyDescent="0.3">
      <c r="A116">
        <v>115</v>
      </c>
      <c r="B116" t="s">
        <v>337</v>
      </c>
      <c r="C116" t="s">
        <v>6</v>
      </c>
      <c r="D116" t="s">
        <v>338</v>
      </c>
      <c r="E116" t="s">
        <v>339</v>
      </c>
    </row>
    <row r="117" spans="1:5" x14ac:dyDescent="0.3">
      <c r="A117">
        <v>116</v>
      </c>
      <c r="B117" t="s">
        <v>340</v>
      </c>
      <c r="C117" t="s">
        <v>10</v>
      </c>
      <c r="D117" t="s">
        <v>341</v>
      </c>
      <c r="E117" t="s">
        <v>342</v>
      </c>
    </row>
    <row r="118" spans="1:5" x14ac:dyDescent="0.3">
      <c r="A118">
        <v>117</v>
      </c>
      <c r="B118" t="s">
        <v>343</v>
      </c>
      <c r="C118" t="s">
        <v>6</v>
      </c>
      <c r="D118" t="s">
        <v>344</v>
      </c>
      <c r="E118" t="s">
        <v>345</v>
      </c>
    </row>
    <row r="119" spans="1:5" x14ac:dyDescent="0.3">
      <c r="A119">
        <v>118</v>
      </c>
      <c r="B119" t="s">
        <v>346</v>
      </c>
      <c r="C119" t="s">
        <v>29</v>
      </c>
      <c r="D119" t="s">
        <v>347</v>
      </c>
      <c r="E119" t="s">
        <v>348</v>
      </c>
    </row>
    <row r="120" spans="1:5" x14ac:dyDescent="0.3">
      <c r="A120">
        <v>119</v>
      </c>
      <c r="B120" t="s">
        <v>349</v>
      </c>
      <c r="C120" t="s">
        <v>10</v>
      </c>
      <c r="D120" t="s">
        <v>350</v>
      </c>
      <c r="E120" t="s">
        <v>351</v>
      </c>
    </row>
    <row r="121" spans="1:5" x14ac:dyDescent="0.3">
      <c r="A121">
        <v>120</v>
      </c>
      <c r="B121" t="s">
        <v>352</v>
      </c>
      <c r="C121" t="s">
        <v>6</v>
      </c>
      <c r="D121" t="s">
        <v>353</v>
      </c>
      <c r="E121" t="s">
        <v>354</v>
      </c>
    </row>
    <row r="122" spans="1:5" x14ac:dyDescent="0.3">
      <c r="A122">
        <v>121</v>
      </c>
      <c r="B122" t="s">
        <v>355</v>
      </c>
      <c r="C122" t="s">
        <v>14</v>
      </c>
      <c r="D122" t="s">
        <v>356</v>
      </c>
      <c r="E122">
        <v>7826814168</v>
      </c>
    </row>
    <row r="123" spans="1:5" x14ac:dyDescent="0.3">
      <c r="A123">
        <v>122</v>
      </c>
      <c r="B123" t="s">
        <v>357</v>
      </c>
      <c r="C123" t="s">
        <v>14</v>
      </c>
      <c r="D123" t="s">
        <v>358</v>
      </c>
      <c r="E123" t="s">
        <v>359</v>
      </c>
    </row>
    <row r="124" spans="1:5" x14ac:dyDescent="0.3">
      <c r="A124">
        <v>123</v>
      </c>
      <c r="B124" t="s">
        <v>360</v>
      </c>
      <c r="C124" t="s">
        <v>29</v>
      </c>
      <c r="D124" t="s">
        <v>361</v>
      </c>
      <c r="E124" t="s">
        <v>362</v>
      </c>
    </row>
    <row r="125" spans="1:5" x14ac:dyDescent="0.3">
      <c r="A125">
        <v>124</v>
      </c>
      <c r="B125" t="s">
        <v>363</v>
      </c>
      <c r="C125" t="s">
        <v>29</v>
      </c>
      <c r="D125" t="s">
        <v>364</v>
      </c>
      <c r="E125" t="s">
        <v>365</v>
      </c>
    </row>
    <row r="126" spans="1:5" x14ac:dyDescent="0.3">
      <c r="A126">
        <v>125</v>
      </c>
      <c r="B126" t="s">
        <v>366</v>
      </c>
      <c r="C126" t="s">
        <v>10</v>
      </c>
      <c r="D126" t="s">
        <v>367</v>
      </c>
      <c r="E126" t="s">
        <v>368</v>
      </c>
    </row>
    <row r="127" spans="1:5" x14ac:dyDescent="0.3">
      <c r="A127">
        <v>126</v>
      </c>
      <c r="B127" t="s">
        <v>369</v>
      </c>
      <c r="C127" t="s">
        <v>14</v>
      </c>
      <c r="D127" t="s">
        <v>370</v>
      </c>
      <c r="E127" t="s">
        <v>371</v>
      </c>
    </row>
    <row r="128" spans="1:5" x14ac:dyDescent="0.3">
      <c r="A128">
        <v>127</v>
      </c>
      <c r="B128" t="s">
        <v>372</v>
      </c>
      <c r="C128" t="s">
        <v>14</v>
      </c>
      <c r="D128" t="s">
        <v>373</v>
      </c>
      <c r="E128">
        <v>1431125754</v>
      </c>
    </row>
    <row r="129" spans="1:5" x14ac:dyDescent="0.3">
      <c r="A129">
        <v>128</v>
      </c>
      <c r="B129" t="s">
        <v>374</v>
      </c>
      <c r="C129" t="s">
        <v>29</v>
      </c>
      <c r="D129" t="s">
        <v>375</v>
      </c>
      <c r="E129" t="s">
        <v>376</v>
      </c>
    </row>
    <row r="130" spans="1:5" x14ac:dyDescent="0.3">
      <c r="A130">
        <v>129</v>
      </c>
      <c r="B130" t="s">
        <v>377</v>
      </c>
      <c r="C130" t="s">
        <v>29</v>
      </c>
      <c r="D130" t="s">
        <v>378</v>
      </c>
      <c r="E130" t="s">
        <v>379</v>
      </c>
    </row>
    <row r="131" spans="1:5" x14ac:dyDescent="0.3">
      <c r="A131">
        <v>130</v>
      </c>
      <c r="B131" t="s">
        <v>380</v>
      </c>
      <c r="C131" t="s">
        <v>29</v>
      </c>
      <c r="D131" t="s">
        <v>381</v>
      </c>
      <c r="E131" t="s">
        <v>382</v>
      </c>
    </row>
    <row r="132" spans="1:5" x14ac:dyDescent="0.3">
      <c r="A132">
        <v>131</v>
      </c>
      <c r="B132" t="s">
        <v>383</v>
      </c>
      <c r="C132" t="s">
        <v>29</v>
      </c>
      <c r="D132" t="s">
        <v>384</v>
      </c>
      <c r="E132">
        <f>1-951-192-1790</f>
        <v>-2932</v>
      </c>
    </row>
    <row r="133" spans="1:5" x14ac:dyDescent="0.3">
      <c r="A133">
        <v>132</v>
      </c>
      <c r="B133" t="s">
        <v>385</v>
      </c>
      <c r="C133" t="s">
        <v>29</v>
      </c>
      <c r="D133" t="s">
        <v>386</v>
      </c>
      <c r="E133" t="s">
        <v>387</v>
      </c>
    </row>
    <row r="134" spans="1:5" x14ac:dyDescent="0.3">
      <c r="A134">
        <v>133</v>
      </c>
      <c r="B134" t="s">
        <v>388</v>
      </c>
      <c r="C134" t="s">
        <v>14</v>
      </c>
      <c r="D134" t="s">
        <v>389</v>
      </c>
      <c r="E134" t="s">
        <v>390</v>
      </c>
    </row>
    <row r="135" spans="1:5" x14ac:dyDescent="0.3">
      <c r="A135">
        <v>134</v>
      </c>
      <c r="B135" t="s">
        <v>391</v>
      </c>
      <c r="C135" t="s">
        <v>10</v>
      </c>
      <c r="D135" t="s">
        <v>392</v>
      </c>
      <c r="E135" t="s">
        <v>393</v>
      </c>
    </row>
    <row r="136" spans="1:5" x14ac:dyDescent="0.3">
      <c r="A136">
        <v>135</v>
      </c>
      <c r="B136" t="s">
        <v>394</v>
      </c>
      <c r="C136" t="s">
        <v>6</v>
      </c>
      <c r="D136" t="s">
        <v>395</v>
      </c>
      <c r="E136" t="s">
        <v>396</v>
      </c>
    </row>
    <row r="137" spans="1:5" x14ac:dyDescent="0.3">
      <c r="A137">
        <v>136</v>
      </c>
      <c r="B137" t="s">
        <v>397</v>
      </c>
      <c r="C137" t="s">
        <v>14</v>
      </c>
      <c r="D137" t="s">
        <v>398</v>
      </c>
      <c r="E137">
        <v>675064790</v>
      </c>
    </row>
    <row r="138" spans="1:5" x14ac:dyDescent="0.3">
      <c r="A138">
        <v>137</v>
      </c>
      <c r="B138" t="s">
        <v>399</v>
      </c>
      <c r="C138" t="s">
        <v>14</v>
      </c>
      <c r="D138" t="s">
        <v>400</v>
      </c>
      <c r="E138">
        <v>1224216342</v>
      </c>
    </row>
    <row r="139" spans="1:5" x14ac:dyDescent="0.3">
      <c r="A139">
        <v>138</v>
      </c>
      <c r="B139" t="s">
        <v>401</v>
      </c>
      <c r="C139" t="s">
        <v>14</v>
      </c>
      <c r="D139" t="s">
        <v>402</v>
      </c>
      <c r="E139" t="s">
        <v>403</v>
      </c>
    </row>
    <row r="140" spans="1:5" x14ac:dyDescent="0.3">
      <c r="A140">
        <v>139</v>
      </c>
      <c r="B140" t="s">
        <v>404</v>
      </c>
      <c r="C140" t="s">
        <v>14</v>
      </c>
      <c r="D140" t="s">
        <v>405</v>
      </c>
      <c r="E140" t="s">
        <v>406</v>
      </c>
    </row>
    <row r="141" spans="1:5" x14ac:dyDescent="0.3">
      <c r="A141">
        <v>140</v>
      </c>
      <c r="B141" t="s">
        <v>407</v>
      </c>
      <c r="C141" t="s">
        <v>6</v>
      </c>
      <c r="D141" t="s">
        <v>408</v>
      </c>
      <c r="E141" t="s">
        <v>409</v>
      </c>
    </row>
    <row r="142" spans="1:5" x14ac:dyDescent="0.3">
      <c r="A142">
        <v>141</v>
      </c>
      <c r="B142" t="s">
        <v>410</v>
      </c>
      <c r="C142" t="s">
        <v>10</v>
      </c>
      <c r="D142" t="s">
        <v>411</v>
      </c>
      <c r="E142" t="s">
        <v>412</v>
      </c>
    </row>
    <row r="143" spans="1:5" x14ac:dyDescent="0.3">
      <c r="A143">
        <v>142</v>
      </c>
      <c r="B143" t="s">
        <v>413</v>
      </c>
      <c r="C143" t="s">
        <v>14</v>
      </c>
      <c r="D143" t="s">
        <v>414</v>
      </c>
      <c r="E143">
        <v>8802732716</v>
      </c>
    </row>
    <row r="144" spans="1:5" x14ac:dyDescent="0.3">
      <c r="A144">
        <v>143</v>
      </c>
      <c r="B144" t="s">
        <v>415</v>
      </c>
      <c r="C144" t="s">
        <v>6</v>
      </c>
      <c r="D144" t="s">
        <v>416</v>
      </c>
      <c r="E144" t="s">
        <v>417</v>
      </c>
    </row>
    <row r="145" spans="1:5" x14ac:dyDescent="0.3">
      <c r="A145">
        <v>144</v>
      </c>
      <c r="B145" t="s">
        <v>418</v>
      </c>
      <c r="C145" t="s">
        <v>10</v>
      </c>
      <c r="D145" t="s">
        <v>419</v>
      </c>
      <c r="E145" t="s">
        <v>420</v>
      </c>
    </row>
    <row r="146" spans="1:5" x14ac:dyDescent="0.3">
      <c r="A146">
        <v>145</v>
      </c>
      <c r="B146" t="s">
        <v>421</v>
      </c>
      <c r="C146" t="s">
        <v>6</v>
      </c>
      <c r="D146" t="s">
        <v>422</v>
      </c>
      <c r="E146" t="s">
        <v>423</v>
      </c>
    </row>
    <row r="147" spans="1:5" x14ac:dyDescent="0.3">
      <c r="A147">
        <v>146</v>
      </c>
      <c r="B147" t="s">
        <v>424</v>
      </c>
      <c r="C147" t="s">
        <v>10</v>
      </c>
      <c r="D147" t="s">
        <v>425</v>
      </c>
      <c r="E147">
        <v>1344646051</v>
      </c>
    </row>
    <row r="148" spans="1:5" x14ac:dyDescent="0.3">
      <c r="A148">
        <v>147</v>
      </c>
      <c r="B148" t="s">
        <v>426</v>
      </c>
      <c r="C148" t="s">
        <v>14</v>
      </c>
      <c r="D148" t="s">
        <v>427</v>
      </c>
      <c r="E148" t="s">
        <v>428</v>
      </c>
    </row>
    <row r="149" spans="1:5" x14ac:dyDescent="0.3">
      <c r="A149">
        <v>148</v>
      </c>
      <c r="B149" t="s">
        <v>429</v>
      </c>
      <c r="C149" t="s">
        <v>14</v>
      </c>
      <c r="D149" t="s">
        <v>430</v>
      </c>
      <c r="E149" t="s">
        <v>431</v>
      </c>
    </row>
    <row r="150" spans="1:5" x14ac:dyDescent="0.3">
      <c r="A150">
        <v>149</v>
      </c>
      <c r="B150" t="s">
        <v>432</v>
      </c>
      <c r="C150" t="s">
        <v>14</v>
      </c>
      <c r="D150" t="s">
        <v>433</v>
      </c>
      <c r="E150" t="s">
        <v>434</v>
      </c>
    </row>
    <row r="151" spans="1:5" x14ac:dyDescent="0.3">
      <c r="A151">
        <v>150</v>
      </c>
      <c r="B151" t="s">
        <v>435</v>
      </c>
      <c r="C151" t="s">
        <v>29</v>
      </c>
      <c r="D151" t="s">
        <v>436</v>
      </c>
      <c r="E151" t="s">
        <v>437</v>
      </c>
    </row>
    <row r="152" spans="1:5" x14ac:dyDescent="0.3">
      <c r="A152">
        <v>151</v>
      </c>
      <c r="B152" t="s">
        <v>438</v>
      </c>
      <c r="C152" t="s">
        <v>6</v>
      </c>
      <c r="D152" t="s">
        <v>439</v>
      </c>
      <c r="E152" t="s">
        <v>440</v>
      </c>
    </row>
    <row r="153" spans="1:5" x14ac:dyDescent="0.3">
      <c r="A153">
        <v>152</v>
      </c>
      <c r="B153" t="s">
        <v>441</v>
      </c>
      <c r="C153" t="s">
        <v>10</v>
      </c>
      <c r="D153" t="s">
        <v>442</v>
      </c>
      <c r="E153" t="s">
        <v>443</v>
      </c>
    </row>
    <row r="154" spans="1:5" x14ac:dyDescent="0.3">
      <c r="A154">
        <v>153</v>
      </c>
      <c r="B154" t="s">
        <v>444</v>
      </c>
      <c r="C154" t="s">
        <v>10</v>
      </c>
      <c r="D154" t="s">
        <v>445</v>
      </c>
      <c r="E154" t="s">
        <v>446</v>
      </c>
    </row>
    <row r="155" spans="1:5" x14ac:dyDescent="0.3">
      <c r="A155">
        <v>154</v>
      </c>
      <c r="B155" t="s">
        <v>447</v>
      </c>
      <c r="C155" t="s">
        <v>6</v>
      </c>
      <c r="D155" t="s">
        <v>448</v>
      </c>
      <c r="E155">
        <v>6267945876</v>
      </c>
    </row>
    <row r="156" spans="1:5" x14ac:dyDescent="0.3">
      <c r="A156">
        <v>155</v>
      </c>
      <c r="B156" t="s">
        <v>449</v>
      </c>
      <c r="C156" t="s">
        <v>6</v>
      </c>
      <c r="D156" t="s">
        <v>450</v>
      </c>
      <c r="E156" t="s">
        <v>451</v>
      </c>
    </row>
    <row r="157" spans="1:5" x14ac:dyDescent="0.3">
      <c r="A157">
        <v>156</v>
      </c>
      <c r="B157" t="s">
        <v>452</v>
      </c>
      <c r="C157" t="s">
        <v>29</v>
      </c>
      <c r="D157" t="s">
        <v>453</v>
      </c>
      <c r="E157" t="s">
        <v>454</v>
      </c>
    </row>
    <row r="158" spans="1:5" x14ac:dyDescent="0.3">
      <c r="A158">
        <v>157</v>
      </c>
      <c r="B158" t="s">
        <v>455</v>
      </c>
      <c r="C158" t="s">
        <v>10</v>
      </c>
      <c r="D158" t="s">
        <v>456</v>
      </c>
      <c r="E158" t="s">
        <v>457</v>
      </c>
    </row>
    <row r="159" spans="1:5" x14ac:dyDescent="0.3">
      <c r="A159">
        <v>158</v>
      </c>
      <c r="B159" t="s">
        <v>458</v>
      </c>
      <c r="C159" t="s">
        <v>10</v>
      </c>
      <c r="D159" t="s">
        <v>459</v>
      </c>
      <c r="E159" t="s">
        <v>460</v>
      </c>
    </row>
    <row r="160" spans="1:5" x14ac:dyDescent="0.3">
      <c r="A160">
        <v>159</v>
      </c>
      <c r="B160" t="s">
        <v>461</v>
      </c>
      <c r="C160" t="s">
        <v>14</v>
      </c>
      <c r="D160" t="s">
        <v>462</v>
      </c>
      <c r="E160" t="s">
        <v>463</v>
      </c>
    </row>
    <row r="161" spans="1:5" x14ac:dyDescent="0.3">
      <c r="A161">
        <v>160</v>
      </c>
      <c r="B161" t="s">
        <v>464</v>
      </c>
      <c r="C161" t="s">
        <v>29</v>
      </c>
      <c r="D161" t="s">
        <v>465</v>
      </c>
      <c r="E161">
        <f>1-947-203-9101</f>
        <v>-10250</v>
      </c>
    </row>
    <row r="162" spans="1:5" x14ac:dyDescent="0.3">
      <c r="A162">
        <v>161</v>
      </c>
      <c r="B162" t="s">
        <v>466</v>
      </c>
      <c r="C162" t="s">
        <v>29</v>
      </c>
      <c r="D162" t="s">
        <v>467</v>
      </c>
      <c r="E162" t="s">
        <v>468</v>
      </c>
    </row>
    <row r="163" spans="1:5" x14ac:dyDescent="0.3">
      <c r="A163">
        <v>162</v>
      </c>
      <c r="B163" t="s">
        <v>469</v>
      </c>
      <c r="C163" t="s">
        <v>10</v>
      </c>
      <c r="D163" t="s">
        <v>470</v>
      </c>
      <c r="E163" t="s">
        <v>471</v>
      </c>
    </row>
    <row r="164" spans="1:5" x14ac:dyDescent="0.3">
      <c r="A164">
        <v>163</v>
      </c>
      <c r="B164" t="s">
        <v>472</v>
      </c>
      <c r="C164" t="s">
        <v>29</v>
      </c>
      <c r="D164" t="s">
        <v>473</v>
      </c>
      <c r="E164">
        <f>1-73-375-4139</f>
        <v>-4586</v>
      </c>
    </row>
    <row r="165" spans="1:5" x14ac:dyDescent="0.3">
      <c r="A165">
        <v>164</v>
      </c>
      <c r="B165" t="s">
        <v>474</v>
      </c>
      <c r="C165" t="s">
        <v>29</v>
      </c>
      <c r="D165" t="s">
        <v>475</v>
      </c>
      <c r="E165" t="s">
        <v>476</v>
      </c>
    </row>
    <row r="166" spans="1:5" x14ac:dyDescent="0.3">
      <c r="A166">
        <v>165</v>
      </c>
      <c r="B166" t="s">
        <v>477</v>
      </c>
      <c r="C166" t="s">
        <v>6</v>
      </c>
      <c r="D166" t="s">
        <v>478</v>
      </c>
      <c r="E166" t="s">
        <v>479</v>
      </c>
    </row>
    <row r="167" spans="1:5" x14ac:dyDescent="0.3">
      <c r="A167">
        <v>166</v>
      </c>
      <c r="B167" t="s">
        <v>480</v>
      </c>
      <c r="C167" t="s">
        <v>29</v>
      </c>
      <c r="D167" t="s">
        <v>481</v>
      </c>
      <c r="E167" t="s">
        <v>482</v>
      </c>
    </row>
    <row r="168" spans="1:5" x14ac:dyDescent="0.3">
      <c r="A168">
        <v>167</v>
      </c>
      <c r="B168" t="s">
        <v>483</v>
      </c>
      <c r="C168" t="s">
        <v>29</v>
      </c>
      <c r="D168" t="s">
        <v>484</v>
      </c>
      <c r="E168" t="s">
        <v>485</v>
      </c>
    </row>
    <row r="169" spans="1:5" x14ac:dyDescent="0.3">
      <c r="A169">
        <v>168</v>
      </c>
      <c r="B169" t="s">
        <v>486</v>
      </c>
      <c r="C169" t="s">
        <v>6</v>
      </c>
      <c r="D169" t="s">
        <v>487</v>
      </c>
      <c r="E169" t="s">
        <v>488</v>
      </c>
    </row>
    <row r="170" spans="1:5" x14ac:dyDescent="0.3">
      <c r="A170">
        <v>169</v>
      </c>
      <c r="B170" t="s">
        <v>489</v>
      </c>
      <c r="C170" t="s">
        <v>29</v>
      </c>
      <c r="D170" t="s">
        <v>490</v>
      </c>
      <c r="E170" t="s">
        <v>491</v>
      </c>
    </row>
    <row r="171" spans="1:5" x14ac:dyDescent="0.3">
      <c r="A171">
        <v>170</v>
      </c>
      <c r="B171" t="s">
        <v>492</v>
      </c>
      <c r="C171" t="s">
        <v>29</v>
      </c>
      <c r="D171" t="s">
        <v>493</v>
      </c>
      <c r="E171" t="s">
        <v>494</v>
      </c>
    </row>
    <row r="172" spans="1:5" x14ac:dyDescent="0.3">
      <c r="A172">
        <v>171</v>
      </c>
      <c r="B172" t="s">
        <v>495</v>
      </c>
      <c r="C172" t="s">
        <v>14</v>
      </c>
      <c r="D172" t="s">
        <v>496</v>
      </c>
      <c r="E172" t="s">
        <v>497</v>
      </c>
    </row>
    <row r="173" spans="1:5" x14ac:dyDescent="0.3">
      <c r="A173">
        <v>172</v>
      </c>
      <c r="B173" t="s">
        <v>498</v>
      </c>
      <c r="C173" t="s">
        <v>29</v>
      </c>
      <c r="D173" t="s">
        <v>499</v>
      </c>
      <c r="E173" t="s">
        <v>500</v>
      </c>
    </row>
    <row r="174" spans="1:5" x14ac:dyDescent="0.3">
      <c r="A174">
        <v>173</v>
      </c>
      <c r="B174" t="s">
        <v>501</v>
      </c>
      <c r="C174" t="s">
        <v>14</v>
      </c>
      <c r="D174" t="s">
        <v>502</v>
      </c>
      <c r="E174" t="s">
        <v>503</v>
      </c>
    </row>
    <row r="175" spans="1:5" x14ac:dyDescent="0.3">
      <c r="A175">
        <v>174</v>
      </c>
      <c r="B175" t="s">
        <v>504</v>
      </c>
      <c r="C175" t="s">
        <v>10</v>
      </c>
      <c r="D175" t="s">
        <v>505</v>
      </c>
      <c r="E175" t="s">
        <v>506</v>
      </c>
    </row>
    <row r="176" spans="1:5" x14ac:dyDescent="0.3">
      <c r="A176">
        <v>175</v>
      </c>
      <c r="B176" t="s">
        <v>507</v>
      </c>
      <c r="C176" t="s">
        <v>10</v>
      </c>
      <c r="D176" t="s">
        <v>508</v>
      </c>
      <c r="E176" t="s">
        <v>509</v>
      </c>
    </row>
    <row r="177" spans="1:5" x14ac:dyDescent="0.3">
      <c r="A177">
        <v>176</v>
      </c>
      <c r="B177" t="s">
        <v>510</v>
      </c>
      <c r="C177" t="s">
        <v>14</v>
      </c>
      <c r="D177" t="s">
        <v>511</v>
      </c>
      <c r="E177" t="s">
        <v>512</v>
      </c>
    </row>
    <row r="178" spans="1:5" x14ac:dyDescent="0.3">
      <c r="A178">
        <v>177</v>
      </c>
      <c r="B178" t="s">
        <v>513</v>
      </c>
      <c r="C178" t="s">
        <v>14</v>
      </c>
      <c r="D178" t="s">
        <v>514</v>
      </c>
      <c r="E178" t="s">
        <v>515</v>
      </c>
    </row>
    <row r="179" spans="1:5" x14ac:dyDescent="0.3">
      <c r="A179">
        <v>178</v>
      </c>
      <c r="B179" t="s">
        <v>516</v>
      </c>
      <c r="C179" t="s">
        <v>6</v>
      </c>
      <c r="D179" t="s">
        <v>517</v>
      </c>
      <c r="E179" t="s">
        <v>518</v>
      </c>
    </row>
    <row r="180" spans="1:5" x14ac:dyDescent="0.3">
      <c r="A180">
        <v>179</v>
      </c>
      <c r="B180" t="s">
        <v>519</v>
      </c>
      <c r="C180" t="s">
        <v>29</v>
      </c>
      <c r="D180" t="s">
        <v>520</v>
      </c>
      <c r="E180" t="s">
        <v>521</v>
      </c>
    </row>
    <row r="181" spans="1:5" x14ac:dyDescent="0.3">
      <c r="A181">
        <v>180</v>
      </c>
      <c r="B181" t="s">
        <v>522</v>
      </c>
      <c r="C181" t="s">
        <v>6</v>
      </c>
      <c r="D181" t="s">
        <v>523</v>
      </c>
      <c r="E181" t="s">
        <v>524</v>
      </c>
    </row>
    <row r="182" spans="1:5" x14ac:dyDescent="0.3">
      <c r="A182">
        <v>181</v>
      </c>
      <c r="B182" t="s">
        <v>525</v>
      </c>
      <c r="C182" t="s">
        <v>14</v>
      </c>
      <c r="D182" t="s">
        <v>252</v>
      </c>
      <c r="E182">
        <v>3222400397</v>
      </c>
    </row>
    <row r="183" spans="1:5" x14ac:dyDescent="0.3">
      <c r="A183">
        <v>182</v>
      </c>
      <c r="B183" t="s">
        <v>526</v>
      </c>
      <c r="C183" t="s">
        <v>29</v>
      </c>
      <c r="D183" t="s">
        <v>527</v>
      </c>
      <c r="E183">
        <v>8901485867</v>
      </c>
    </row>
    <row r="184" spans="1:5" x14ac:dyDescent="0.3">
      <c r="A184">
        <v>183</v>
      </c>
      <c r="B184" t="s">
        <v>528</v>
      </c>
      <c r="C184" t="s">
        <v>10</v>
      </c>
      <c r="D184" t="s">
        <v>529</v>
      </c>
      <c r="E184" t="s">
        <v>530</v>
      </c>
    </row>
    <row r="185" spans="1:5" x14ac:dyDescent="0.3">
      <c r="A185">
        <v>184</v>
      </c>
      <c r="B185" t="s">
        <v>531</v>
      </c>
      <c r="C185" t="s">
        <v>10</v>
      </c>
      <c r="D185" t="s">
        <v>532</v>
      </c>
      <c r="E185" t="s">
        <v>533</v>
      </c>
    </row>
    <row r="186" spans="1:5" x14ac:dyDescent="0.3">
      <c r="A186">
        <v>185</v>
      </c>
      <c r="B186" t="s">
        <v>534</v>
      </c>
      <c r="C186" t="s">
        <v>10</v>
      </c>
      <c r="D186" t="s">
        <v>535</v>
      </c>
      <c r="E186" t="s">
        <v>536</v>
      </c>
    </row>
    <row r="187" spans="1:5" x14ac:dyDescent="0.3">
      <c r="A187">
        <v>186</v>
      </c>
      <c r="B187" t="s">
        <v>537</v>
      </c>
      <c r="C187" t="s">
        <v>6</v>
      </c>
      <c r="D187" t="s">
        <v>538</v>
      </c>
      <c r="E187">
        <v>4995907798</v>
      </c>
    </row>
    <row r="188" spans="1:5" x14ac:dyDescent="0.3">
      <c r="A188">
        <v>187</v>
      </c>
      <c r="B188" t="s">
        <v>539</v>
      </c>
      <c r="C188" t="s">
        <v>6</v>
      </c>
      <c r="D188" t="s">
        <v>540</v>
      </c>
      <c r="E188" t="s">
        <v>541</v>
      </c>
    </row>
    <row r="189" spans="1:5" x14ac:dyDescent="0.3">
      <c r="A189">
        <v>188</v>
      </c>
      <c r="B189" t="s">
        <v>542</v>
      </c>
      <c r="C189" t="s">
        <v>29</v>
      </c>
      <c r="D189" t="s">
        <v>543</v>
      </c>
      <c r="E189" t="s">
        <v>544</v>
      </c>
    </row>
    <row r="190" spans="1:5" x14ac:dyDescent="0.3">
      <c r="A190">
        <v>189</v>
      </c>
      <c r="B190" t="s">
        <v>545</v>
      </c>
      <c r="C190" t="s">
        <v>10</v>
      </c>
      <c r="D190" t="s">
        <v>546</v>
      </c>
      <c r="E190" t="s">
        <v>547</v>
      </c>
    </row>
    <row r="191" spans="1:5" x14ac:dyDescent="0.3">
      <c r="A191">
        <v>190</v>
      </c>
      <c r="B191" t="s">
        <v>548</v>
      </c>
      <c r="C191" t="s">
        <v>29</v>
      </c>
      <c r="D191" t="s">
        <v>549</v>
      </c>
      <c r="E191" t="s">
        <v>550</v>
      </c>
    </row>
    <row r="192" spans="1:5" x14ac:dyDescent="0.3">
      <c r="A192">
        <v>191</v>
      </c>
      <c r="B192" t="s">
        <v>551</v>
      </c>
      <c r="C192" t="s">
        <v>6</v>
      </c>
      <c r="D192" t="s">
        <v>552</v>
      </c>
      <c r="E192">
        <v>2254787600</v>
      </c>
    </row>
    <row r="193" spans="1:5" x14ac:dyDescent="0.3">
      <c r="A193">
        <v>192</v>
      </c>
      <c r="B193" t="s">
        <v>553</v>
      </c>
      <c r="C193" t="s">
        <v>10</v>
      </c>
      <c r="D193" t="s">
        <v>554</v>
      </c>
      <c r="E193" t="s">
        <v>555</v>
      </c>
    </row>
    <row r="194" spans="1:5" x14ac:dyDescent="0.3">
      <c r="A194">
        <v>193</v>
      </c>
      <c r="B194" t="s">
        <v>556</v>
      </c>
      <c r="C194" t="s">
        <v>29</v>
      </c>
      <c r="D194" t="s">
        <v>557</v>
      </c>
      <c r="E194" t="s">
        <v>558</v>
      </c>
    </row>
    <row r="195" spans="1:5" x14ac:dyDescent="0.3">
      <c r="A195">
        <v>194</v>
      </c>
      <c r="B195" t="s">
        <v>559</v>
      </c>
      <c r="C195" t="s">
        <v>14</v>
      </c>
      <c r="D195" t="s">
        <v>560</v>
      </c>
      <c r="E195" t="s">
        <v>561</v>
      </c>
    </row>
    <row r="196" spans="1:5" x14ac:dyDescent="0.3">
      <c r="A196">
        <v>195</v>
      </c>
      <c r="B196" t="s">
        <v>562</v>
      </c>
      <c r="C196" t="s">
        <v>29</v>
      </c>
      <c r="D196" t="s">
        <v>563</v>
      </c>
      <c r="E196" t="s">
        <v>564</v>
      </c>
    </row>
    <row r="197" spans="1:5" x14ac:dyDescent="0.3">
      <c r="A197">
        <v>196</v>
      </c>
      <c r="B197" t="s">
        <v>565</v>
      </c>
      <c r="C197" t="s">
        <v>29</v>
      </c>
      <c r="D197" t="s">
        <v>566</v>
      </c>
      <c r="E197" t="s">
        <v>567</v>
      </c>
    </row>
    <row r="198" spans="1:5" x14ac:dyDescent="0.3">
      <c r="A198">
        <v>197</v>
      </c>
      <c r="B198" t="s">
        <v>568</v>
      </c>
      <c r="C198" t="s">
        <v>6</v>
      </c>
      <c r="D198" t="s">
        <v>569</v>
      </c>
      <c r="E198" t="s">
        <v>570</v>
      </c>
    </row>
    <row r="199" spans="1:5" x14ac:dyDescent="0.3">
      <c r="A199">
        <v>198</v>
      </c>
      <c r="B199" t="s">
        <v>571</v>
      </c>
      <c r="C199" t="s">
        <v>10</v>
      </c>
      <c r="D199" t="s">
        <v>572</v>
      </c>
      <c r="E199" t="s">
        <v>573</v>
      </c>
    </row>
    <row r="200" spans="1:5" x14ac:dyDescent="0.3">
      <c r="A200">
        <v>199</v>
      </c>
      <c r="B200" t="s">
        <v>574</v>
      </c>
      <c r="C200" t="s">
        <v>10</v>
      </c>
      <c r="D200" t="s">
        <v>575</v>
      </c>
      <c r="E200" t="s">
        <v>576</v>
      </c>
    </row>
    <row r="201" spans="1:5" x14ac:dyDescent="0.3">
      <c r="A201">
        <v>200</v>
      </c>
      <c r="B201" t="s">
        <v>577</v>
      </c>
      <c r="C201" t="s">
        <v>14</v>
      </c>
      <c r="D201" t="s">
        <v>578</v>
      </c>
      <c r="E201" t="s">
        <v>579</v>
      </c>
    </row>
    <row r="202" spans="1:5" x14ac:dyDescent="0.3">
      <c r="A202">
        <v>201</v>
      </c>
      <c r="B202" t="s">
        <v>580</v>
      </c>
      <c r="C202" t="s">
        <v>10</v>
      </c>
      <c r="D202" t="s">
        <v>581</v>
      </c>
      <c r="E202">
        <v>4177309502</v>
      </c>
    </row>
    <row r="203" spans="1:5" x14ac:dyDescent="0.3">
      <c r="A203">
        <v>202</v>
      </c>
      <c r="B203" t="s">
        <v>582</v>
      </c>
      <c r="C203" t="s">
        <v>14</v>
      </c>
      <c r="D203" t="s">
        <v>583</v>
      </c>
      <c r="E203" t="s">
        <v>584</v>
      </c>
    </row>
    <row r="204" spans="1:5" x14ac:dyDescent="0.3">
      <c r="A204">
        <v>203</v>
      </c>
      <c r="B204" t="s">
        <v>585</v>
      </c>
      <c r="C204" t="s">
        <v>6</v>
      </c>
      <c r="D204" t="s">
        <v>586</v>
      </c>
      <c r="E204">
        <v>335998576</v>
      </c>
    </row>
    <row r="205" spans="1:5" x14ac:dyDescent="0.3">
      <c r="A205">
        <v>204</v>
      </c>
      <c r="B205" t="s">
        <v>587</v>
      </c>
      <c r="C205" t="s">
        <v>10</v>
      </c>
      <c r="D205" t="s">
        <v>588</v>
      </c>
      <c r="E205" t="s">
        <v>589</v>
      </c>
    </row>
    <row r="206" spans="1:5" x14ac:dyDescent="0.3">
      <c r="A206">
        <v>205</v>
      </c>
      <c r="B206" t="s">
        <v>590</v>
      </c>
      <c r="C206" t="s">
        <v>29</v>
      </c>
      <c r="D206" t="s">
        <v>591</v>
      </c>
      <c r="E206">
        <v>3783162949</v>
      </c>
    </row>
    <row r="207" spans="1:5" x14ac:dyDescent="0.3">
      <c r="A207">
        <v>206</v>
      </c>
      <c r="B207" t="s">
        <v>592</v>
      </c>
      <c r="C207" t="s">
        <v>10</v>
      </c>
      <c r="D207" t="s">
        <v>593</v>
      </c>
      <c r="E207" t="s">
        <v>594</v>
      </c>
    </row>
    <row r="208" spans="1:5" x14ac:dyDescent="0.3">
      <c r="A208">
        <v>207</v>
      </c>
      <c r="B208" t="s">
        <v>595</v>
      </c>
      <c r="C208" t="s">
        <v>6</v>
      </c>
      <c r="D208" t="s">
        <v>596</v>
      </c>
      <c r="E208" t="s">
        <v>597</v>
      </c>
    </row>
    <row r="209" spans="1:5" x14ac:dyDescent="0.3">
      <c r="A209">
        <v>208</v>
      </c>
      <c r="B209" t="s">
        <v>598</v>
      </c>
      <c r="C209" t="s">
        <v>29</v>
      </c>
      <c r="D209" t="s">
        <v>599</v>
      </c>
      <c r="E209" t="s">
        <v>600</v>
      </c>
    </row>
    <row r="210" spans="1:5" x14ac:dyDescent="0.3">
      <c r="A210">
        <v>209</v>
      </c>
      <c r="B210" t="s">
        <v>601</v>
      </c>
      <c r="C210" t="s">
        <v>10</v>
      </c>
      <c r="D210" t="s">
        <v>602</v>
      </c>
      <c r="E210" t="s">
        <v>603</v>
      </c>
    </row>
    <row r="211" spans="1:5" x14ac:dyDescent="0.3">
      <c r="A211">
        <v>210</v>
      </c>
      <c r="B211" t="s">
        <v>604</v>
      </c>
      <c r="C211" t="s">
        <v>14</v>
      </c>
      <c r="D211" t="s">
        <v>605</v>
      </c>
      <c r="E211" t="s">
        <v>606</v>
      </c>
    </row>
    <row r="212" spans="1:5" x14ac:dyDescent="0.3">
      <c r="A212">
        <v>211</v>
      </c>
      <c r="B212" t="s">
        <v>607</v>
      </c>
      <c r="C212" t="s">
        <v>29</v>
      </c>
      <c r="D212" t="s">
        <v>608</v>
      </c>
      <c r="E212" t="s">
        <v>609</v>
      </c>
    </row>
    <row r="213" spans="1:5" x14ac:dyDescent="0.3">
      <c r="A213">
        <v>212</v>
      </c>
      <c r="B213" t="s">
        <v>610</v>
      </c>
      <c r="C213" t="s">
        <v>6</v>
      </c>
      <c r="D213" t="s">
        <v>611</v>
      </c>
      <c r="E213" t="s">
        <v>612</v>
      </c>
    </row>
    <row r="214" spans="1:5" x14ac:dyDescent="0.3">
      <c r="A214">
        <v>213</v>
      </c>
      <c r="B214" t="s">
        <v>613</v>
      </c>
      <c r="C214" t="s">
        <v>14</v>
      </c>
      <c r="D214" t="s">
        <v>614</v>
      </c>
      <c r="E214" t="s">
        <v>615</v>
      </c>
    </row>
    <row r="215" spans="1:5" x14ac:dyDescent="0.3">
      <c r="A215">
        <v>214</v>
      </c>
      <c r="B215" t="s">
        <v>616</v>
      </c>
      <c r="C215" t="s">
        <v>14</v>
      </c>
      <c r="D215" t="s">
        <v>617</v>
      </c>
      <c r="E215" t="s">
        <v>618</v>
      </c>
    </row>
    <row r="216" spans="1:5" x14ac:dyDescent="0.3">
      <c r="A216">
        <v>215</v>
      </c>
      <c r="B216" t="s">
        <v>619</v>
      </c>
      <c r="C216" t="s">
        <v>29</v>
      </c>
      <c r="D216" t="s">
        <v>620</v>
      </c>
      <c r="E216">
        <v>1733110659</v>
      </c>
    </row>
    <row r="217" spans="1:5" x14ac:dyDescent="0.3">
      <c r="A217">
        <v>216</v>
      </c>
      <c r="B217" t="s">
        <v>621</v>
      </c>
      <c r="C217" t="s">
        <v>29</v>
      </c>
      <c r="D217" t="s">
        <v>622</v>
      </c>
      <c r="E217" t="s">
        <v>623</v>
      </c>
    </row>
    <row r="218" spans="1:5" x14ac:dyDescent="0.3">
      <c r="A218">
        <v>217</v>
      </c>
      <c r="B218" t="s">
        <v>624</v>
      </c>
      <c r="C218" t="s">
        <v>29</v>
      </c>
      <c r="D218" t="s">
        <v>625</v>
      </c>
      <c r="E218" t="s">
        <v>626</v>
      </c>
    </row>
    <row r="219" spans="1:5" x14ac:dyDescent="0.3">
      <c r="A219">
        <v>218</v>
      </c>
      <c r="B219" t="s">
        <v>627</v>
      </c>
      <c r="C219" t="s">
        <v>29</v>
      </c>
      <c r="D219" t="s">
        <v>628</v>
      </c>
      <c r="E219" t="s">
        <v>629</v>
      </c>
    </row>
    <row r="220" spans="1:5" x14ac:dyDescent="0.3">
      <c r="A220">
        <v>219</v>
      </c>
      <c r="B220" t="s">
        <v>630</v>
      </c>
      <c r="C220" t="s">
        <v>29</v>
      </c>
      <c r="D220" t="s">
        <v>631</v>
      </c>
      <c r="E220">
        <f>1-17-613-1019</f>
        <v>-1648</v>
      </c>
    </row>
    <row r="221" spans="1:5" x14ac:dyDescent="0.3">
      <c r="A221">
        <v>220</v>
      </c>
      <c r="B221" t="s">
        <v>632</v>
      </c>
      <c r="C221" t="s">
        <v>14</v>
      </c>
      <c r="D221" t="s">
        <v>633</v>
      </c>
      <c r="E221">
        <v>2612673922</v>
      </c>
    </row>
    <row r="222" spans="1:5" x14ac:dyDescent="0.3">
      <c r="A222">
        <v>221</v>
      </c>
      <c r="B222" t="s">
        <v>634</v>
      </c>
      <c r="C222" t="s">
        <v>6</v>
      </c>
      <c r="D222" t="s">
        <v>635</v>
      </c>
      <c r="E222" t="s">
        <v>636</v>
      </c>
    </row>
    <row r="223" spans="1:5" x14ac:dyDescent="0.3">
      <c r="A223">
        <v>222</v>
      </c>
      <c r="B223" t="s">
        <v>637</v>
      </c>
      <c r="C223" t="s">
        <v>6</v>
      </c>
      <c r="D223" t="s">
        <v>638</v>
      </c>
      <c r="E223" t="s">
        <v>639</v>
      </c>
    </row>
    <row r="224" spans="1:5" x14ac:dyDescent="0.3">
      <c r="A224">
        <v>223</v>
      </c>
      <c r="B224" t="s">
        <v>640</v>
      </c>
      <c r="C224" t="s">
        <v>29</v>
      </c>
      <c r="D224" t="s">
        <v>641</v>
      </c>
      <c r="E224" t="s">
        <v>642</v>
      </c>
    </row>
    <row r="225" spans="1:5" x14ac:dyDescent="0.3">
      <c r="A225">
        <v>224</v>
      </c>
      <c r="B225" t="s">
        <v>643</v>
      </c>
      <c r="C225" t="s">
        <v>29</v>
      </c>
      <c r="D225" t="s">
        <v>644</v>
      </c>
      <c r="E225">
        <v>2077678809</v>
      </c>
    </row>
    <row r="226" spans="1:5" x14ac:dyDescent="0.3">
      <c r="A226">
        <v>225</v>
      </c>
      <c r="B226" t="s">
        <v>645</v>
      </c>
      <c r="C226" t="s">
        <v>14</v>
      </c>
      <c r="D226" t="s">
        <v>646</v>
      </c>
      <c r="E226" t="s">
        <v>647</v>
      </c>
    </row>
    <row r="227" spans="1:5" x14ac:dyDescent="0.3">
      <c r="A227">
        <v>226</v>
      </c>
      <c r="B227" t="s">
        <v>648</v>
      </c>
      <c r="C227" t="s">
        <v>29</v>
      </c>
      <c r="D227" t="s">
        <v>649</v>
      </c>
      <c r="E227" t="s">
        <v>650</v>
      </c>
    </row>
    <row r="228" spans="1:5" x14ac:dyDescent="0.3">
      <c r="A228">
        <v>227</v>
      </c>
      <c r="B228" t="s">
        <v>651</v>
      </c>
      <c r="C228" t="s">
        <v>14</v>
      </c>
      <c r="D228" t="s">
        <v>652</v>
      </c>
      <c r="E228" t="s">
        <v>653</v>
      </c>
    </row>
    <row r="229" spans="1:5" x14ac:dyDescent="0.3">
      <c r="A229">
        <v>228</v>
      </c>
      <c r="B229" t="s">
        <v>654</v>
      </c>
      <c r="C229" t="s">
        <v>29</v>
      </c>
      <c r="D229" t="s">
        <v>655</v>
      </c>
      <c r="E229" t="s">
        <v>656</v>
      </c>
    </row>
    <row r="230" spans="1:5" x14ac:dyDescent="0.3">
      <c r="A230">
        <v>229</v>
      </c>
      <c r="B230" t="s">
        <v>657</v>
      </c>
      <c r="C230" t="s">
        <v>6</v>
      </c>
      <c r="D230" t="s">
        <v>658</v>
      </c>
      <c r="E230">
        <v>7774795306</v>
      </c>
    </row>
    <row r="231" spans="1:5" x14ac:dyDescent="0.3">
      <c r="A231">
        <v>230</v>
      </c>
      <c r="B231" t="s">
        <v>659</v>
      </c>
      <c r="C231" t="s">
        <v>14</v>
      </c>
      <c r="D231" t="s">
        <v>660</v>
      </c>
      <c r="E231" t="s">
        <v>661</v>
      </c>
    </row>
    <row r="232" spans="1:5" x14ac:dyDescent="0.3">
      <c r="A232">
        <v>231</v>
      </c>
      <c r="B232" t="s">
        <v>662</v>
      </c>
      <c r="C232" t="s">
        <v>29</v>
      </c>
      <c r="D232" t="s">
        <v>663</v>
      </c>
      <c r="E232" t="s">
        <v>664</v>
      </c>
    </row>
    <row r="233" spans="1:5" x14ac:dyDescent="0.3">
      <c r="A233">
        <v>232</v>
      </c>
      <c r="B233" t="s">
        <v>665</v>
      </c>
      <c r="C233" t="s">
        <v>29</v>
      </c>
      <c r="D233" t="s">
        <v>666</v>
      </c>
      <c r="E233" t="s">
        <v>667</v>
      </c>
    </row>
    <row r="234" spans="1:5" x14ac:dyDescent="0.3">
      <c r="A234">
        <v>233</v>
      </c>
      <c r="B234" t="s">
        <v>668</v>
      </c>
      <c r="C234" t="s">
        <v>29</v>
      </c>
      <c r="D234" t="s">
        <v>669</v>
      </c>
      <c r="E234" t="s">
        <v>670</v>
      </c>
    </row>
    <row r="235" spans="1:5" x14ac:dyDescent="0.3">
      <c r="A235">
        <v>234</v>
      </c>
      <c r="B235" t="s">
        <v>671</v>
      </c>
      <c r="C235" t="s">
        <v>29</v>
      </c>
      <c r="D235" t="s">
        <v>672</v>
      </c>
      <c r="E235" t="s">
        <v>673</v>
      </c>
    </row>
    <row r="236" spans="1:5" x14ac:dyDescent="0.3">
      <c r="A236">
        <v>235</v>
      </c>
      <c r="B236" t="s">
        <v>674</v>
      </c>
      <c r="C236" t="s">
        <v>14</v>
      </c>
      <c r="D236" t="s">
        <v>675</v>
      </c>
      <c r="E236" t="s">
        <v>676</v>
      </c>
    </row>
    <row r="237" spans="1:5" x14ac:dyDescent="0.3">
      <c r="A237">
        <v>236</v>
      </c>
      <c r="B237" t="s">
        <v>677</v>
      </c>
      <c r="C237" t="s">
        <v>29</v>
      </c>
      <c r="D237" t="s">
        <v>678</v>
      </c>
      <c r="E237" t="s">
        <v>679</v>
      </c>
    </row>
    <row r="238" spans="1:5" x14ac:dyDescent="0.3">
      <c r="A238">
        <v>237</v>
      </c>
      <c r="B238" t="s">
        <v>680</v>
      </c>
      <c r="C238" t="s">
        <v>6</v>
      </c>
      <c r="D238" t="s">
        <v>681</v>
      </c>
      <c r="E238" t="s">
        <v>682</v>
      </c>
    </row>
    <row r="239" spans="1:5" x14ac:dyDescent="0.3">
      <c r="A239">
        <v>238</v>
      </c>
      <c r="B239" t="s">
        <v>683</v>
      </c>
      <c r="C239" t="s">
        <v>14</v>
      </c>
      <c r="D239" t="s">
        <v>684</v>
      </c>
      <c r="E239" t="s">
        <v>685</v>
      </c>
    </row>
    <row r="240" spans="1:5" x14ac:dyDescent="0.3">
      <c r="A240">
        <v>239</v>
      </c>
      <c r="B240" t="s">
        <v>686</v>
      </c>
      <c r="C240" t="s">
        <v>14</v>
      </c>
      <c r="D240" t="s">
        <v>687</v>
      </c>
      <c r="E240">
        <v>722151225</v>
      </c>
    </row>
    <row r="241" spans="1:5" x14ac:dyDescent="0.3">
      <c r="A241">
        <v>240</v>
      </c>
      <c r="B241" t="s">
        <v>688</v>
      </c>
      <c r="C241" t="s">
        <v>6</v>
      </c>
      <c r="D241" t="s">
        <v>689</v>
      </c>
      <c r="E241">
        <v>180633263</v>
      </c>
    </row>
    <row r="242" spans="1:5" x14ac:dyDescent="0.3">
      <c r="A242">
        <v>241</v>
      </c>
      <c r="B242" t="s">
        <v>690</v>
      </c>
      <c r="C242" t="s">
        <v>29</v>
      </c>
      <c r="D242" t="s">
        <v>691</v>
      </c>
      <c r="E242" t="s">
        <v>692</v>
      </c>
    </row>
    <row r="243" spans="1:5" x14ac:dyDescent="0.3">
      <c r="A243">
        <v>242</v>
      </c>
      <c r="B243" t="s">
        <v>693</v>
      </c>
      <c r="C243" t="s">
        <v>14</v>
      </c>
      <c r="D243" t="s">
        <v>694</v>
      </c>
      <c r="E243">
        <v>6212235497</v>
      </c>
    </row>
    <row r="244" spans="1:5" x14ac:dyDescent="0.3">
      <c r="A244">
        <v>243</v>
      </c>
      <c r="B244" t="s">
        <v>695</v>
      </c>
      <c r="C244" t="s">
        <v>14</v>
      </c>
      <c r="D244" t="s">
        <v>696</v>
      </c>
      <c r="E244" t="s">
        <v>697</v>
      </c>
    </row>
    <row r="245" spans="1:5" x14ac:dyDescent="0.3">
      <c r="A245">
        <v>244</v>
      </c>
      <c r="B245" t="s">
        <v>698</v>
      </c>
      <c r="C245" t="s">
        <v>6</v>
      </c>
      <c r="D245" t="s">
        <v>699</v>
      </c>
      <c r="E245" t="s">
        <v>700</v>
      </c>
    </row>
    <row r="246" spans="1:5" x14ac:dyDescent="0.3">
      <c r="A246">
        <v>245</v>
      </c>
      <c r="B246" t="s">
        <v>701</v>
      </c>
      <c r="C246" t="s">
        <v>6</v>
      </c>
      <c r="D246" t="s">
        <v>702</v>
      </c>
      <c r="E246" t="s">
        <v>703</v>
      </c>
    </row>
    <row r="247" spans="1:5" x14ac:dyDescent="0.3">
      <c r="A247">
        <v>246</v>
      </c>
      <c r="B247" t="s">
        <v>704</v>
      </c>
      <c r="C247" t="s">
        <v>6</v>
      </c>
      <c r="D247" t="s">
        <v>705</v>
      </c>
      <c r="E247" t="s">
        <v>706</v>
      </c>
    </row>
    <row r="248" spans="1:5" x14ac:dyDescent="0.3">
      <c r="A248">
        <v>247</v>
      </c>
      <c r="B248" t="s">
        <v>707</v>
      </c>
      <c r="C248" t="s">
        <v>29</v>
      </c>
      <c r="D248" t="s">
        <v>708</v>
      </c>
      <c r="E248" t="s">
        <v>709</v>
      </c>
    </row>
    <row r="249" spans="1:5" x14ac:dyDescent="0.3">
      <c r="A249">
        <v>248</v>
      </c>
      <c r="B249" t="s">
        <v>710</v>
      </c>
      <c r="C249" t="s">
        <v>29</v>
      </c>
      <c r="D249" t="s">
        <v>711</v>
      </c>
      <c r="E249" t="s">
        <v>712</v>
      </c>
    </row>
    <row r="250" spans="1:5" x14ac:dyDescent="0.3">
      <c r="A250">
        <v>249</v>
      </c>
      <c r="B250" t="s">
        <v>713</v>
      </c>
      <c r="C250" t="s">
        <v>29</v>
      </c>
      <c r="D250" t="s">
        <v>714</v>
      </c>
      <c r="E250">
        <v>318694632</v>
      </c>
    </row>
    <row r="251" spans="1:5" x14ac:dyDescent="0.3">
      <c r="A251">
        <v>250</v>
      </c>
      <c r="B251" t="s">
        <v>715</v>
      </c>
      <c r="C251" t="s">
        <v>29</v>
      </c>
      <c r="D251" t="s">
        <v>716</v>
      </c>
      <c r="E251" t="s">
        <v>717</v>
      </c>
    </row>
    <row r="252" spans="1:5" x14ac:dyDescent="0.3">
      <c r="A252">
        <v>251</v>
      </c>
      <c r="B252" t="s">
        <v>718</v>
      </c>
      <c r="C252" t="s">
        <v>14</v>
      </c>
      <c r="D252" t="s">
        <v>719</v>
      </c>
      <c r="E252" t="s">
        <v>720</v>
      </c>
    </row>
    <row r="253" spans="1:5" x14ac:dyDescent="0.3">
      <c r="A253">
        <v>252</v>
      </c>
      <c r="B253" t="s">
        <v>721</v>
      </c>
      <c r="C253" t="s">
        <v>10</v>
      </c>
      <c r="D253" t="s">
        <v>722</v>
      </c>
      <c r="E253" t="s">
        <v>723</v>
      </c>
    </row>
    <row r="254" spans="1:5" x14ac:dyDescent="0.3">
      <c r="A254">
        <v>253</v>
      </c>
      <c r="B254" t="s">
        <v>724</v>
      </c>
      <c r="C254" t="s">
        <v>14</v>
      </c>
      <c r="D254" t="s">
        <v>725</v>
      </c>
      <c r="E254" t="s">
        <v>726</v>
      </c>
    </row>
    <row r="255" spans="1:5" x14ac:dyDescent="0.3">
      <c r="A255">
        <v>254</v>
      </c>
      <c r="B255" t="s">
        <v>727</v>
      </c>
      <c r="C255" t="s">
        <v>6</v>
      </c>
      <c r="D255" t="s">
        <v>728</v>
      </c>
      <c r="E255">
        <v>4034230469</v>
      </c>
    </row>
    <row r="256" spans="1:5" x14ac:dyDescent="0.3">
      <c r="A256">
        <v>255</v>
      </c>
      <c r="B256" t="s">
        <v>729</v>
      </c>
      <c r="C256" t="s">
        <v>10</v>
      </c>
      <c r="D256" t="s">
        <v>730</v>
      </c>
      <c r="E256" t="s">
        <v>731</v>
      </c>
    </row>
    <row r="257" spans="1:5" x14ac:dyDescent="0.3">
      <c r="A257">
        <v>256</v>
      </c>
      <c r="B257" t="s">
        <v>732</v>
      </c>
      <c r="C257" t="s">
        <v>10</v>
      </c>
      <c r="D257" t="s">
        <v>733</v>
      </c>
      <c r="E257" t="s">
        <v>734</v>
      </c>
    </row>
    <row r="258" spans="1:5" x14ac:dyDescent="0.3">
      <c r="A258">
        <v>257</v>
      </c>
      <c r="B258" t="s">
        <v>735</v>
      </c>
      <c r="C258" t="s">
        <v>6</v>
      </c>
      <c r="D258" t="s">
        <v>736</v>
      </c>
      <c r="E258" t="s">
        <v>737</v>
      </c>
    </row>
    <row r="259" spans="1:5" x14ac:dyDescent="0.3">
      <c r="A259">
        <v>258</v>
      </c>
      <c r="B259" t="s">
        <v>738</v>
      </c>
      <c r="C259" t="s">
        <v>10</v>
      </c>
      <c r="D259" t="s">
        <v>739</v>
      </c>
      <c r="E259" t="s">
        <v>740</v>
      </c>
    </row>
    <row r="260" spans="1:5" x14ac:dyDescent="0.3">
      <c r="A260">
        <v>259</v>
      </c>
      <c r="B260" t="s">
        <v>741</v>
      </c>
      <c r="C260" t="s">
        <v>14</v>
      </c>
      <c r="D260" t="s">
        <v>742</v>
      </c>
      <c r="E260" t="s">
        <v>743</v>
      </c>
    </row>
    <row r="261" spans="1:5" x14ac:dyDescent="0.3">
      <c r="A261">
        <v>260</v>
      </c>
      <c r="B261" t="s">
        <v>744</v>
      </c>
      <c r="C261" t="s">
        <v>29</v>
      </c>
      <c r="D261" t="s">
        <v>745</v>
      </c>
      <c r="E261" t="s">
        <v>746</v>
      </c>
    </row>
    <row r="262" spans="1:5" x14ac:dyDescent="0.3">
      <c r="A262">
        <v>261</v>
      </c>
      <c r="B262" t="s">
        <v>747</v>
      </c>
      <c r="C262" t="s">
        <v>14</v>
      </c>
      <c r="D262" t="s">
        <v>748</v>
      </c>
      <c r="E262" t="s">
        <v>749</v>
      </c>
    </row>
    <row r="263" spans="1:5" x14ac:dyDescent="0.3">
      <c r="A263">
        <v>262</v>
      </c>
      <c r="B263" t="s">
        <v>750</v>
      </c>
      <c r="C263" t="s">
        <v>14</v>
      </c>
      <c r="D263" t="s">
        <v>751</v>
      </c>
      <c r="E263">
        <f>1-1-202-48</f>
        <v>-250</v>
      </c>
    </row>
    <row r="264" spans="1:5" x14ac:dyDescent="0.3">
      <c r="A264">
        <v>263</v>
      </c>
      <c r="B264" t="s">
        <v>752</v>
      </c>
      <c r="C264" t="s">
        <v>6</v>
      </c>
      <c r="D264" t="s">
        <v>753</v>
      </c>
      <c r="E264" t="s">
        <v>754</v>
      </c>
    </row>
    <row r="265" spans="1:5" x14ac:dyDescent="0.3">
      <c r="A265">
        <v>264</v>
      </c>
      <c r="B265" t="s">
        <v>755</v>
      </c>
      <c r="C265" t="s">
        <v>14</v>
      </c>
      <c r="D265" t="s">
        <v>756</v>
      </c>
      <c r="E265" t="s">
        <v>757</v>
      </c>
    </row>
    <row r="266" spans="1:5" x14ac:dyDescent="0.3">
      <c r="A266">
        <v>265</v>
      </c>
      <c r="B266" t="s">
        <v>758</v>
      </c>
      <c r="C266" t="s">
        <v>10</v>
      </c>
      <c r="D266" t="s">
        <v>759</v>
      </c>
      <c r="E266" t="s">
        <v>760</v>
      </c>
    </row>
    <row r="267" spans="1:5" x14ac:dyDescent="0.3">
      <c r="A267">
        <v>266</v>
      </c>
      <c r="B267" t="s">
        <v>761</v>
      </c>
      <c r="C267" t="s">
        <v>6</v>
      </c>
      <c r="D267" t="s">
        <v>762</v>
      </c>
      <c r="E267" t="s">
        <v>763</v>
      </c>
    </row>
    <row r="268" spans="1:5" x14ac:dyDescent="0.3">
      <c r="A268">
        <v>267</v>
      </c>
      <c r="B268" t="s">
        <v>764</v>
      </c>
      <c r="C268" t="s">
        <v>6</v>
      </c>
      <c r="D268" t="s">
        <v>765</v>
      </c>
      <c r="E268">
        <f>1-382-112-6000</f>
        <v>-6493</v>
      </c>
    </row>
    <row r="269" spans="1:5" x14ac:dyDescent="0.3">
      <c r="A269">
        <v>268</v>
      </c>
      <c r="B269" t="s">
        <v>766</v>
      </c>
      <c r="C269" t="s">
        <v>6</v>
      </c>
      <c r="D269" t="s">
        <v>264</v>
      </c>
      <c r="E269" t="s">
        <v>767</v>
      </c>
    </row>
    <row r="270" spans="1:5" x14ac:dyDescent="0.3">
      <c r="A270">
        <v>269</v>
      </c>
      <c r="B270" t="s">
        <v>768</v>
      </c>
      <c r="C270" t="s">
        <v>10</v>
      </c>
      <c r="D270" t="s">
        <v>614</v>
      </c>
      <c r="E270" t="s">
        <v>769</v>
      </c>
    </row>
    <row r="271" spans="1:5" x14ac:dyDescent="0.3">
      <c r="A271">
        <v>270</v>
      </c>
      <c r="B271" t="s">
        <v>770</v>
      </c>
      <c r="C271" t="s">
        <v>6</v>
      </c>
      <c r="D271" t="s">
        <v>771</v>
      </c>
      <c r="E271">
        <v>792874429</v>
      </c>
    </row>
    <row r="272" spans="1:5" x14ac:dyDescent="0.3">
      <c r="A272">
        <v>271</v>
      </c>
      <c r="B272" t="s">
        <v>772</v>
      </c>
      <c r="C272" t="s">
        <v>10</v>
      </c>
      <c r="D272" t="s">
        <v>773</v>
      </c>
      <c r="E272" t="s">
        <v>774</v>
      </c>
    </row>
    <row r="273" spans="1:5" x14ac:dyDescent="0.3">
      <c r="A273">
        <v>272</v>
      </c>
      <c r="B273" t="s">
        <v>775</v>
      </c>
      <c r="C273" t="s">
        <v>6</v>
      </c>
      <c r="D273" t="s">
        <v>776</v>
      </c>
      <c r="E273" t="s">
        <v>777</v>
      </c>
    </row>
    <row r="274" spans="1:5" x14ac:dyDescent="0.3">
      <c r="A274">
        <v>273</v>
      </c>
      <c r="B274" t="s">
        <v>778</v>
      </c>
      <c r="C274" t="s">
        <v>29</v>
      </c>
      <c r="D274" t="s">
        <v>779</v>
      </c>
      <c r="E274" t="s">
        <v>780</v>
      </c>
    </row>
    <row r="275" spans="1:5" x14ac:dyDescent="0.3">
      <c r="A275">
        <v>274</v>
      </c>
      <c r="B275" t="s">
        <v>781</v>
      </c>
      <c r="C275" t="s">
        <v>10</v>
      </c>
      <c r="D275" t="s">
        <v>782</v>
      </c>
      <c r="E275" t="s">
        <v>783</v>
      </c>
    </row>
    <row r="276" spans="1:5" x14ac:dyDescent="0.3">
      <c r="A276">
        <v>275</v>
      </c>
      <c r="B276" t="s">
        <v>784</v>
      </c>
      <c r="C276" t="s">
        <v>10</v>
      </c>
      <c r="D276" t="s">
        <v>785</v>
      </c>
      <c r="E276" t="s">
        <v>786</v>
      </c>
    </row>
    <row r="277" spans="1:5" x14ac:dyDescent="0.3">
      <c r="A277">
        <v>276</v>
      </c>
      <c r="B277" t="s">
        <v>787</v>
      </c>
      <c r="C277" t="s">
        <v>10</v>
      </c>
      <c r="D277" t="s">
        <v>270</v>
      </c>
      <c r="E277" t="s">
        <v>788</v>
      </c>
    </row>
    <row r="278" spans="1:5" x14ac:dyDescent="0.3">
      <c r="A278">
        <v>277</v>
      </c>
      <c r="B278" t="s">
        <v>789</v>
      </c>
      <c r="C278" t="s">
        <v>29</v>
      </c>
      <c r="D278" t="s">
        <v>790</v>
      </c>
      <c r="E278" t="s">
        <v>791</v>
      </c>
    </row>
    <row r="279" spans="1:5" x14ac:dyDescent="0.3">
      <c r="A279">
        <v>278</v>
      </c>
      <c r="B279" t="s">
        <v>792</v>
      </c>
      <c r="C279" t="s">
        <v>6</v>
      </c>
      <c r="D279" t="s">
        <v>793</v>
      </c>
      <c r="E279" t="s">
        <v>794</v>
      </c>
    </row>
    <row r="280" spans="1:5" x14ac:dyDescent="0.3">
      <c r="A280">
        <v>279</v>
      </c>
      <c r="B280" t="s">
        <v>795</v>
      </c>
      <c r="C280" t="s">
        <v>29</v>
      </c>
      <c r="D280" t="s">
        <v>796</v>
      </c>
      <c r="E280" t="s">
        <v>797</v>
      </c>
    </row>
    <row r="281" spans="1:5" x14ac:dyDescent="0.3">
      <c r="A281">
        <v>280</v>
      </c>
      <c r="B281" t="s">
        <v>798</v>
      </c>
      <c r="C281" t="s">
        <v>6</v>
      </c>
      <c r="D281" t="s">
        <v>799</v>
      </c>
      <c r="E281" t="s">
        <v>800</v>
      </c>
    </row>
    <row r="282" spans="1:5" x14ac:dyDescent="0.3">
      <c r="A282">
        <v>281</v>
      </c>
      <c r="B282" t="s">
        <v>801</v>
      </c>
      <c r="C282" t="s">
        <v>29</v>
      </c>
      <c r="D282" t="s">
        <v>802</v>
      </c>
      <c r="E282" t="s">
        <v>803</v>
      </c>
    </row>
    <row r="283" spans="1:5" x14ac:dyDescent="0.3">
      <c r="A283">
        <v>282</v>
      </c>
      <c r="B283" t="s">
        <v>804</v>
      </c>
      <c r="C283" t="s">
        <v>6</v>
      </c>
      <c r="D283" t="s">
        <v>805</v>
      </c>
      <c r="E283" t="s">
        <v>806</v>
      </c>
    </row>
    <row r="284" spans="1:5" x14ac:dyDescent="0.3">
      <c r="A284">
        <v>283</v>
      </c>
      <c r="B284" t="s">
        <v>807</v>
      </c>
      <c r="C284" t="s">
        <v>29</v>
      </c>
      <c r="D284" t="s">
        <v>808</v>
      </c>
      <c r="E284" t="s">
        <v>809</v>
      </c>
    </row>
    <row r="285" spans="1:5" x14ac:dyDescent="0.3">
      <c r="A285">
        <v>284</v>
      </c>
      <c r="B285" t="s">
        <v>810</v>
      </c>
      <c r="C285" t="s">
        <v>14</v>
      </c>
      <c r="D285" t="s">
        <v>811</v>
      </c>
      <c r="E285" t="s">
        <v>812</v>
      </c>
    </row>
    <row r="286" spans="1:5" x14ac:dyDescent="0.3">
      <c r="A286">
        <v>285</v>
      </c>
      <c r="B286" t="s">
        <v>813</v>
      </c>
      <c r="C286" t="s">
        <v>14</v>
      </c>
      <c r="D286" t="s">
        <v>814</v>
      </c>
      <c r="E286" t="s">
        <v>815</v>
      </c>
    </row>
    <row r="287" spans="1:5" x14ac:dyDescent="0.3">
      <c r="A287">
        <v>286</v>
      </c>
      <c r="B287" t="s">
        <v>816</v>
      </c>
      <c r="C287" t="s">
        <v>6</v>
      </c>
      <c r="D287" t="s">
        <v>817</v>
      </c>
      <c r="E287" t="s">
        <v>818</v>
      </c>
    </row>
    <row r="288" spans="1:5" x14ac:dyDescent="0.3">
      <c r="A288">
        <v>287</v>
      </c>
      <c r="B288" t="s">
        <v>819</v>
      </c>
      <c r="C288" t="s">
        <v>29</v>
      </c>
      <c r="D288" t="s">
        <v>820</v>
      </c>
      <c r="E288">
        <v>7970971389</v>
      </c>
    </row>
    <row r="289" spans="1:5" x14ac:dyDescent="0.3">
      <c r="A289">
        <v>288</v>
      </c>
      <c r="B289" t="s">
        <v>821</v>
      </c>
      <c r="C289" t="s">
        <v>14</v>
      </c>
      <c r="D289" t="s">
        <v>822</v>
      </c>
      <c r="E289" t="s">
        <v>823</v>
      </c>
    </row>
    <row r="290" spans="1:5" x14ac:dyDescent="0.3">
      <c r="A290">
        <v>289</v>
      </c>
      <c r="B290" t="s">
        <v>824</v>
      </c>
      <c r="C290" t="s">
        <v>6</v>
      </c>
      <c r="D290" t="s">
        <v>825</v>
      </c>
      <c r="E290">
        <v>295226591</v>
      </c>
    </row>
    <row r="291" spans="1:5" x14ac:dyDescent="0.3">
      <c r="A291">
        <v>290</v>
      </c>
      <c r="B291" t="s">
        <v>826</v>
      </c>
      <c r="C291" t="s">
        <v>6</v>
      </c>
      <c r="D291" t="s">
        <v>827</v>
      </c>
      <c r="E291">
        <v>6935324960</v>
      </c>
    </row>
    <row r="292" spans="1:5" x14ac:dyDescent="0.3">
      <c r="A292">
        <v>291</v>
      </c>
      <c r="B292" t="s">
        <v>828</v>
      </c>
      <c r="C292" t="s">
        <v>29</v>
      </c>
      <c r="D292" t="s">
        <v>829</v>
      </c>
      <c r="E292" t="s">
        <v>830</v>
      </c>
    </row>
    <row r="293" spans="1:5" x14ac:dyDescent="0.3">
      <c r="A293">
        <v>292</v>
      </c>
      <c r="B293" t="s">
        <v>831</v>
      </c>
      <c r="C293" t="s">
        <v>14</v>
      </c>
      <c r="D293" t="s">
        <v>832</v>
      </c>
      <c r="E293" t="s">
        <v>833</v>
      </c>
    </row>
    <row r="294" spans="1:5" x14ac:dyDescent="0.3">
      <c r="A294">
        <v>293</v>
      </c>
      <c r="B294" t="s">
        <v>834</v>
      </c>
      <c r="C294" t="s">
        <v>29</v>
      </c>
      <c r="D294" t="s">
        <v>835</v>
      </c>
      <c r="E294" t="s">
        <v>836</v>
      </c>
    </row>
    <row r="295" spans="1:5" x14ac:dyDescent="0.3">
      <c r="A295">
        <v>294</v>
      </c>
      <c r="B295" t="s">
        <v>837</v>
      </c>
      <c r="C295" t="s">
        <v>14</v>
      </c>
      <c r="D295" t="s">
        <v>838</v>
      </c>
      <c r="E295" t="s">
        <v>839</v>
      </c>
    </row>
    <row r="296" spans="1:5" x14ac:dyDescent="0.3">
      <c r="A296">
        <v>295</v>
      </c>
      <c r="B296" t="s">
        <v>840</v>
      </c>
      <c r="C296" t="s">
        <v>10</v>
      </c>
      <c r="D296" t="s">
        <v>841</v>
      </c>
      <c r="E296" t="s">
        <v>842</v>
      </c>
    </row>
    <row r="297" spans="1:5" x14ac:dyDescent="0.3">
      <c r="A297">
        <v>296</v>
      </c>
      <c r="B297" t="s">
        <v>843</v>
      </c>
      <c r="C297" t="s">
        <v>6</v>
      </c>
      <c r="D297" t="s">
        <v>844</v>
      </c>
      <c r="E297" t="s">
        <v>845</v>
      </c>
    </row>
    <row r="298" spans="1:5" x14ac:dyDescent="0.3">
      <c r="A298">
        <v>297</v>
      </c>
      <c r="B298" t="s">
        <v>846</v>
      </c>
      <c r="C298" t="s">
        <v>10</v>
      </c>
      <c r="D298" t="s">
        <v>847</v>
      </c>
      <c r="E298" t="s">
        <v>848</v>
      </c>
    </row>
    <row r="299" spans="1:5" x14ac:dyDescent="0.3">
      <c r="A299">
        <v>298</v>
      </c>
      <c r="B299" t="s">
        <v>849</v>
      </c>
      <c r="C299" t="s">
        <v>14</v>
      </c>
      <c r="D299" t="s">
        <v>850</v>
      </c>
      <c r="E299" t="s">
        <v>851</v>
      </c>
    </row>
    <row r="300" spans="1:5" x14ac:dyDescent="0.3">
      <c r="A300">
        <v>299</v>
      </c>
      <c r="B300" t="s">
        <v>852</v>
      </c>
      <c r="C300" t="s">
        <v>6</v>
      </c>
      <c r="D300" t="s">
        <v>853</v>
      </c>
      <c r="E300" t="s">
        <v>854</v>
      </c>
    </row>
    <row r="301" spans="1:5" x14ac:dyDescent="0.3">
      <c r="A301">
        <v>300</v>
      </c>
      <c r="B301" t="s">
        <v>855</v>
      </c>
      <c r="C301" t="s">
        <v>14</v>
      </c>
      <c r="D301" t="s">
        <v>856</v>
      </c>
      <c r="E301" t="s">
        <v>857</v>
      </c>
    </row>
    <row r="302" spans="1:5" x14ac:dyDescent="0.3">
      <c r="A302">
        <v>301</v>
      </c>
      <c r="B302" t="s">
        <v>858</v>
      </c>
      <c r="C302" t="s">
        <v>14</v>
      </c>
      <c r="D302" t="s">
        <v>859</v>
      </c>
      <c r="E302">
        <v>3752453906</v>
      </c>
    </row>
    <row r="303" spans="1:5" x14ac:dyDescent="0.3">
      <c r="A303">
        <v>302</v>
      </c>
      <c r="B303" t="s">
        <v>860</v>
      </c>
      <c r="C303" t="s">
        <v>29</v>
      </c>
      <c r="D303" t="s">
        <v>861</v>
      </c>
      <c r="E303" t="s">
        <v>862</v>
      </c>
    </row>
    <row r="304" spans="1:5" x14ac:dyDescent="0.3">
      <c r="A304">
        <v>303</v>
      </c>
      <c r="B304" t="s">
        <v>863</v>
      </c>
      <c r="C304" t="s">
        <v>14</v>
      </c>
      <c r="D304" t="s">
        <v>864</v>
      </c>
      <c r="E304" t="s">
        <v>865</v>
      </c>
    </row>
    <row r="305" spans="1:5" x14ac:dyDescent="0.3">
      <c r="A305">
        <v>304</v>
      </c>
      <c r="B305" t="s">
        <v>866</v>
      </c>
      <c r="C305" t="s">
        <v>14</v>
      </c>
      <c r="D305" t="s">
        <v>867</v>
      </c>
      <c r="E305" t="s">
        <v>868</v>
      </c>
    </row>
    <row r="306" spans="1:5" x14ac:dyDescent="0.3">
      <c r="A306">
        <v>305</v>
      </c>
      <c r="B306" t="s">
        <v>869</v>
      </c>
      <c r="C306" t="s">
        <v>14</v>
      </c>
      <c r="D306" t="s">
        <v>870</v>
      </c>
      <c r="E306" t="s">
        <v>871</v>
      </c>
    </row>
    <row r="307" spans="1:5" x14ac:dyDescent="0.3">
      <c r="A307">
        <v>306</v>
      </c>
      <c r="B307" t="s">
        <v>872</v>
      </c>
      <c r="C307" t="s">
        <v>29</v>
      </c>
      <c r="D307" t="s">
        <v>873</v>
      </c>
      <c r="E307" t="s">
        <v>874</v>
      </c>
    </row>
    <row r="308" spans="1:5" x14ac:dyDescent="0.3">
      <c r="A308">
        <v>307</v>
      </c>
      <c r="B308" t="s">
        <v>875</v>
      </c>
      <c r="C308" t="s">
        <v>29</v>
      </c>
      <c r="D308" t="s">
        <v>876</v>
      </c>
      <c r="E308">
        <f>1-226-239-1432</f>
        <v>-1896</v>
      </c>
    </row>
    <row r="309" spans="1:5" x14ac:dyDescent="0.3">
      <c r="A309">
        <v>308</v>
      </c>
      <c r="B309" t="s">
        <v>877</v>
      </c>
      <c r="C309" t="s">
        <v>14</v>
      </c>
      <c r="D309" t="s">
        <v>878</v>
      </c>
      <c r="E309" t="s">
        <v>879</v>
      </c>
    </row>
    <row r="310" spans="1:5" x14ac:dyDescent="0.3">
      <c r="A310">
        <v>309</v>
      </c>
      <c r="B310" t="s">
        <v>880</v>
      </c>
      <c r="C310" t="s">
        <v>10</v>
      </c>
      <c r="D310" t="s">
        <v>881</v>
      </c>
      <c r="E310" t="s">
        <v>882</v>
      </c>
    </row>
    <row r="311" spans="1:5" x14ac:dyDescent="0.3">
      <c r="A311">
        <v>310</v>
      </c>
      <c r="B311" t="s">
        <v>883</v>
      </c>
      <c r="C311" t="s">
        <v>10</v>
      </c>
      <c r="D311" t="s">
        <v>884</v>
      </c>
      <c r="E311" t="s">
        <v>885</v>
      </c>
    </row>
    <row r="312" spans="1:5" x14ac:dyDescent="0.3">
      <c r="A312">
        <v>311</v>
      </c>
      <c r="B312" t="s">
        <v>886</v>
      </c>
      <c r="C312" t="s">
        <v>29</v>
      </c>
      <c r="D312" t="s">
        <v>887</v>
      </c>
      <c r="E312" t="s">
        <v>888</v>
      </c>
    </row>
    <row r="313" spans="1:5" x14ac:dyDescent="0.3">
      <c r="A313">
        <v>312</v>
      </c>
      <c r="B313" t="s">
        <v>889</v>
      </c>
      <c r="C313" t="s">
        <v>14</v>
      </c>
      <c r="D313" t="s">
        <v>890</v>
      </c>
      <c r="E313" t="s">
        <v>891</v>
      </c>
    </row>
    <row r="314" spans="1:5" x14ac:dyDescent="0.3">
      <c r="A314">
        <v>313</v>
      </c>
      <c r="B314" t="s">
        <v>892</v>
      </c>
      <c r="C314" t="s">
        <v>6</v>
      </c>
      <c r="D314" t="s">
        <v>893</v>
      </c>
      <c r="E314" t="s">
        <v>894</v>
      </c>
    </row>
    <row r="315" spans="1:5" x14ac:dyDescent="0.3">
      <c r="A315">
        <v>314</v>
      </c>
      <c r="B315" t="s">
        <v>895</v>
      </c>
      <c r="C315" t="s">
        <v>6</v>
      </c>
      <c r="D315" t="s">
        <v>896</v>
      </c>
      <c r="E315" t="s">
        <v>897</v>
      </c>
    </row>
    <row r="316" spans="1:5" x14ac:dyDescent="0.3">
      <c r="A316">
        <v>315</v>
      </c>
      <c r="B316" t="s">
        <v>898</v>
      </c>
      <c r="C316" t="s">
        <v>10</v>
      </c>
      <c r="D316" t="s">
        <v>899</v>
      </c>
      <c r="E316" t="s">
        <v>900</v>
      </c>
    </row>
    <row r="317" spans="1:5" x14ac:dyDescent="0.3">
      <c r="A317">
        <v>316</v>
      </c>
      <c r="B317" t="s">
        <v>901</v>
      </c>
      <c r="C317" t="s">
        <v>14</v>
      </c>
      <c r="D317" t="s">
        <v>902</v>
      </c>
      <c r="E317" t="s">
        <v>903</v>
      </c>
    </row>
    <row r="318" spans="1:5" x14ac:dyDescent="0.3">
      <c r="A318">
        <v>317</v>
      </c>
      <c r="B318" t="s">
        <v>904</v>
      </c>
      <c r="C318" t="s">
        <v>14</v>
      </c>
      <c r="D318" t="s">
        <v>905</v>
      </c>
      <c r="E318" t="s">
        <v>906</v>
      </c>
    </row>
    <row r="319" spans="1:5" x14ac:dyDescent="0.3">
      <c r="A319">
        <v>318</v>
      </c>
      <c r="B319" t="s">
        <v>907</v>
      </c>
      <c r="C319" t="s">
        <v>29</v>
      </c>
      <c r="D319" t="s">
        <v>908</v>
      </c>
      <c r="E319" t="s">
        <v>909</v>
      </c>
    </row>
    <row r="320" spans="1:5" x14ac:dyDescent="0.3">
      <c r="A320">
        <v>319</v>
      </c>
      <c r="B320" t="s">
        <v>910</v>
      </c>
      <c r="C320" t="s">
        <v>29</v>
      </c>
      <c r="D320" t="s">
        <v>911</v>
      </c>
      <c r="E320" t="s">
        <v>912</v>
      </c>
    </row>
    <row r="321" spans="1:5" x14ac:dyDescent="0.3">
      <c r="A321">
        <v>320</v>
      </c>
      <c r="B321" t="s">
        <v>913</v>
      </c>
      <c r="C321" t="s">
        <v>6</v>
      </c>
      <c r="D321" t="s">
        <v>914</v>
      </c>
      <c r="E321" t="s">
        <v>915</v>
      </c>
    </row>
    <row r="322" spans="1:5" x14ac:dyDescent="0.3">
      <c r="A322">
        <v>321</v>
      </c>
      <c r="B322" t="s">
        <v>916</v>
      </c>
      <c r="C322" t="s">
        <v>6</v>
      </c>
      <c r="D322" t="s">
        <v>917</v>
      </c>
      <c r="E322" t="s">
        <v>918</v>
      </c>
    </row>
    <row r="323" spans="1:5" x14ac:dyDescent="0.3">
      <c r="A323">
        <v>322</v>
      </c>
      <c r="B323" t="s">
        <v>919</v>
      </c>
      <c r="C323" t="s">
        <v>6</v>
      </c>
      <c r="D323" t="s">
        <v>920</v>
      </c>
      <c r="E323" t="s">
        <v>921</v>
      </c>
    </row>
    <row r="324" spans="1:5" x14ac:dyDescent="0.3">
      <c r="A324">
        <v>323</v>
      </c>
      <c r="B324" t="s">
        <v>922</v>
      </c>
      <c r="C324" t="s">
        <v>10</v>
      </c>
      <c r="D324" t="s">
        <v>923</v>
      </c>
      <c r="E324" t="s">
        <v>924</v>
      </c>
    </row>
    <row r="325" spans="1:5" x14ac:dyDescent="0.3">
      <c r="A325">
        <v>324</v>
      </c>
      <c r="B325" t="s">
        <v>925</v>
      </c>
      <c r="C325" t="s">
        <v>14</v>
      </c>
      <c r="D325" t="s">
        <v>926</v>
      </c>
      <c r="E325" t="s">
        <v>927</v>
      </c>
    </row>
    <row r="326" spans="1:5" x14ac:dyDescent="0.3">
      <c r="A326">
        <v>325</v>
      </c>
      <c r="B326" t="s">
        <v>928</v>
      </c>
      <c r="C326" t="s">
        <v>10</v>
      </c>
      <c r="D326" t="s">
        <v>929</v>
      </c>
      <c r="E326">
        <f>1-565-748-7655</f>
        <v>-8967</v>
      </c>
    </row>
    <row r="327" spans="1:5" x14ac:dyDescent="0.3">
      <c r="A327">
        <v>326</v>
      </c>
      <c r="B327" t="s">
        <v>930</v>
      </c>
      <c r="C327" t="s">
        <v>14</v>
      </c>
      <c r="D327" t="s">
        <v>931</v>
      </c>
      <c r="E327" t="s">
        <v>932</v>
      </c>
    </row>
    <row r="328" spans="1:5" x14ac:dyDescent="0.3">
      <c r="A328">
        <v>327</v>
      </c>
      <c r="B328" t="s">
        <v>933</v>
      </c>
      <c r="C328" t="s">
        <v>6</v>
      </c>
      <c r="D328" t="s">
        <v>934</v>
      </c>
      <c r="E328" t="s">
        <v>935</v>
      </c>
    </row>
    <row r="329" spans="1:5" x14ac:dyDescent="0.3">
      <c r="A329">
        <v>328</v>
      </c>
      <c r="B329" t="s">
        <v>936</v>
      </c>
      <c r="C329" t="s">
        <v>10</v>
      </c>
      <c r="D329" t="s">
        <v>937</v>
      </c>
      <c r="E329" t="s">
        <v>938</v>
      </c>
    </row>
    <row r="330" spans="1:5" x14ac:dyDescent="0.3">
      <c r="A330">
        <v>329</v>
      </c>
      <c r="B330" t="s">
        <v>939</v>
      </c>
      <c r="C330" t="s">
        <v>10</v>
      </c>
      <c r="D330" t="s">
        <v>940</v>
      </c>
      <c r="E330" t="s">
        <v>941</v>
      </c>
    </row>
    <row r="331" spans="1:5" x14ac:dyDescent="0.3">
      <c r="A331">
        <v>330</v>
      </c>
      <c r="B331" t="s">
        <v>942</v>
      </c>
      <c r="C331" t="s">
        <v>10</v>
      </c>
      <c r="D331" t="s">
        <v>943</v>
      </c>
      <c r="E331" t="s">
        <v>944</v>
      </c>
    </row>
    <row r="332" spans="1:5" x14ac:dyDescent="0.3">
      <c r="A332">
        <v>331</v>
      </c>
      <c r="B332" t="s">
        <v>945</v>
      </c>
      <c r="C332" t="s">
        <v>10</v>
      </c>
      <c r="D332" t="s">
        <v>946</v>
      </c>
      <c r="E332" t="s">
        <v>947</v>
      </c>
    </row>
    <row r="333" spans="1:5" x14ac:dyDescent="0.3">
      <c r="A333">
        <v>332</v>
      </c>
      <c r="B333" t="s">
        <v>948</v>
      </c>
      <c r="C333" t="s">
        <v>29</v>
      </c>
      <c r="D333" t="s">
        <v>949</v>
      </c>
      <c r="E333" t="s">
        <v>950</v>
      </c>
    </row>
    <row r="334" spans="1:5" x14ac:dyDescent="0.3">
      <c r="A334">
        <v>333</v>
      </c>
      <c r="B334" t="s">
        <v>951</v>
      </c>
      <c r="C334" t="s">
        <v>29</v>
      </c>
      <c r="D334" t="s">
        <v>952</v>
      </c>
      <c r="E334" t="s">
        <v>953</v>
      </c>
    </row>
    <row r="335" spans="1:5" x14ac:dyDescent="0.3">
      <c r="A335">
        <v>334</v>
      </c>
      <c r="B335" t="s">
        <v>954</v>
      </c>
      <c r="C335" t="s">
        <v>6</v>
      </c>
      <c r="D335" t="s">
        <v>955</v>
      </c>
      <c r="E335" t="s">
        <v>956</v>
      </c>
    </row>
    <row r="336" spans="1:5" x14ac:dyDescent="0.3">
      <c r="A336">
        <v>335</v>
      </c>
      <c r="B336" t="s">
        <v>957</v>
      </c>
      <c r="C336" t="s">
        <v>6</v>
      </c>
      <c r="D336" t="s">
        <v>958</v>
      </c>
      <c r="E336" t="s">
        <v>959</v>
      </c>
    </row>
    <row r="337" spans="1:5" x14ac:dyDescent="0.3">
      <c r="A337">
        <v>336</v>
      </c>
      <c r="B337" t="s">
        <v>960</v>
      </c>
      <c r="C337" t="s">
        <v>29</v>
      </c>
      <c r="D337" t="s">
        <v>961</v>
      </c>
      <c r="E337" t="s">
        <v>962</v>
      </c>
    </row>
    <row r="338" spans="1:5" x14ac:dyDescent="0.3">
      <c r="A338">
        <v>337</v>
      </c>
      <c r="B338" t="s">
        <v>963</v>
      </c>
      <c r="C338" t="s">
        <v>10</v>
      </c>
      <c r="D338" t="s">
        <v>964</v>
      </c>
      <c r="E338" t="s">
        <v>965</v>
      </c>
    </row>
    <row r="339" spans="1:5" x14ac:dyDescent="0.3">
      <c r="A339">
        <v>338</v>
      </c>
      <c r="B339" t="s">
        <v>966</v>
      </c>
      <c r="C339" t="s">
        <v>6</v>
      </c>
      <c r="D339" t="s">
        <v>967</v>
      </c>
      <c r="E339" t="s">
        <v>968</v>
      </c>
    </row>
    <row r="340" spans="1:5" x14ac:dyDescent="0.3">
      <c r="A340">
        <v>339</v>
      </c>
      <c r="B340" t="s">
        <v>969</v>
      </c>
      <c r="C340" t="s">
        <v>10</v>
      </c>
      <c r="D340" t="s">
        <v>970</v>
      </c>
      <c r="E340" t="s">
        <v>971</v>
      </c>
    </row>
    <row r="341" spans="1:5" x14ac:dyDescent="0.3">
      <c r="A341">
        <v>340</v>
      </c>
      <c r="B341" t="s">
        <v>972</v>
      </c>
      <c r="C341" t="s">
        <v>14</v>
      </c>
      <c r="D341" t="s">
        <v>973</v>
      </c>
      <c r="E341" t="s">
        <v>974</v>
      </c>
    </row>
    <row r="342" spans="1:5" x14ac:dyDescent="0.3">
      <c r="A342">
        <v>341</v>
      </c>
      <c r="B342" t="s">
        <v>975</v>
      </c>
      <c r="C342" t="s">
        <v>10</v>
      </c>
      <c r="D342" t="s">
        <v>976</v>
      </c>
      <c r="E342" t="s">
        <v>977</v>
      </c>
    </row>
    <row r="343" spans="1:5" x14ac:dyDescent="0.3">
      <c r="A343">
        <v>342</v>
      </c>
      <c r="B343" t="s">
        <v>978</v>
      </c>
      <c r="C343" t="s">
        <v>29</v>
      </c>
      <c r="D343" t="s">
        <v>979</v>
      </c>
      <c r="E343" t="s">
        <v>980</v>
      </c>
    </row>
    <row r="344" spans="1:5" x14ac:dyDescent="0.3">
      <c r="A344">
        <v>343</v>
      </c>
      <c r="B344" t="s">
        <v>981</v>
      </c>
      <c r="C344" t="s">
        <v>6</v>
      </c>
      <c r="D344" t="s">
        <v>982</v>
      </c>
      <c r="E344" t="s">
        <v>983</v>
      </c>
    </row>
    <row r="345" spans="1:5" x14ac:dyDescent="0.3">
      <c r="A345">
        <v>344</v>
      </c>
      <c r="B345" t="s">
        <v>984</v>
      </c>
      <c r="C345" t="s">
        <v>29</v>
      </c>
      <c r="D345" t="s">
        <v>985</v>
      </c>
      <c r="E345" t="s">
        <v>986</v>
      </c>
    </row>
    <row r="346" spans="1:5" x14ac:dyDescent="0.3">
      <c r="A346">
        <v>345</v>
      </c>
      <c r="B346" t="s">
        <v>987</v>
      </c>
      <c r="C346" t="s">
        <v>10</v>
      </c>
      <c r="D346" t="s">
        <v>988</v>
      </c>
      <c r="E346" t="s">
        <v>989</v>
      </c>
    </row>
    <row r="347" spans="1:5" x14ac:dyDescent="0.3">
      <c r="A347">
        <v>346</v>
      </c>
      <c r="B347" t="s">
        <v>990</v>
      </c>
      <c r="C347" t="s">
        <v>29</v>
      </c>
      <c r="D347" t="s">
        <v>991</v>
      </c>
      <c r="E347" t="s">
        <v>992</v>
      </c>
    </row>
    <row r="348" spans="1:5" x14ac:dyDescent="0.3">
      <c r="A348">
        <v>347</v>
      </c>
      <c r="B348" t="s">
        <v>993</v>
      </c>
      <c r="C348" t="s">
        <v>10</v>
      </c>
      <c r="D348" t="s">
        <v>678</v>
      </c>
      <c r="E348" t="s">
        <v>994</v>
      </c>
    </row>
    <row r="349" spans="1:5" x14ac:dyDescent="0.3">
      <c r="A349">
        <v>348</v>
      </c>
      <c r="B349" t="s">
        <v>995</v>
      </c>
      <c r="C349" t="s">
        <v>10</v>
      </c>
      <c r="D349" t="s">
        <v>996</v>
      </c>
      <c r="E349" t="s">
        <v>997</v>
      </c>
    </row>
    <row r="350" spans="1:5" x14ac:dyDescent="0.3">
      <c r="A350">
        <v>349</v>
      </c>
      <c r="B350" t="s">
        <v>998</v>
      </c>
      <c r="C350" t="s">
        <v>10</v>
      </c>
      <c r="D350" t="s">
        <v>389</v>
      </c>
      <c r="E350" t="s">
        <v>999</v>
      </c>
    </row>
    <row r="351" spans="1:5" x14ac:dyDescent="0.3">
      <c r="A351">
        <v>350</v>
      </c>
      <c r="B351" t="s">
        <v>1000</v>
      </c>
      <c r="C351" t="s">
        <v>6</v>
      </c>
      <c r="D351" t="s">
        <v>1001</v>
      </c>
      <c r="E351" t="s">
        <v>1002</v>
      </c>
    </row>
    <row r="352" spans="1:5" x14ac:dyDescent="0.3">
      <c r="A352">
        <v>351</v>
      </c>
      <c r="B352" t="s">
        <v>1003</v>
      </c>
      <c r="C352" t="s">
        <v>29</v>
      </c>
      <c r="D352" t="s">
        <v>405</v>
      </c>
      <c r="E352" t="s">
        <v>1004</v>
      </c>
    </row>
    <row r="353" spans="1:5" x14ac:dyDescent="0.3">
      <c r="A353">
        <v>352</v>
      </c>
      <c r="B353" t="s">
        <v>1005</v>
      </c>
      <c r="C353" t="s">
        <v>10</v>
      </c>
      <c r="D353" t="s">
        <v>1006</v>
      </c>
      <c r="E353" t="s">
        <v>1007</v>
      </c>
    </row>
    <row r="354" spans="1:5" x14ac:dyDescent="0.3">
      <c r="A354">
        <v>353</v>
      </c>
      <c r="B354" t="s">
        <v>1008</v>
      </c>
      <c r="C354" t="s">
        <v>10</v>
      </c>
      <c r="D354" t="s">
        <v>1009</v>
      </c>
      <c r="E354" t="s">
        <v>1010</v>
      </c>
    </row>
    <row r="355" spans="1:5" x14ac:dyDescent="0.3">
      <c r="A355">
        <v>354</v>
      </c>
      <c r="B355" t="s">
        <v>1011</v>
      </c>
      <c r="C355" t="s">
        <v>29</v>
      </c>
      <c r="D355" t="s">
        <v>1012</v>
      </c>
      <c r="E355" t="s">
        <v>1013</v>
      </c>
    </row>
    <row r="356" spans="1:5" x14ac:dyDescent="0.3">
      <c r="A356">
        <v>355</v>
      </c>
      <c r="B356" t="s">
        <v>1014</v>
      </c>
      <c r="C356" t="s">
        <v>6</v>
      </c>
      <c r="D356" t="s">
        <v>1015</v>
      </c>
      <c r="E356" t="s">
        <v>1016</v>
      </c>
    </row>
    <row r="357" spans="1:5" x14ac:dyDescent="0.3">
      <c r="A357">
        <v>356</v>
      </c>
      <c r="B357" t="s">
        <v>1017</v>
      </c>
      <c r="C357" t="s">
        <v>29</v>
      </c>
      <c r="D357" t="s">
        <v>1018</v>
      </c>
      <c r="E357">
        <f>1-673-372-2010</f>
        <v>-3054</v>
      </c>
    </row>
    <row r="358" spans="1:5" x14ac:dyDescent="0.3">
      <c r="A358">
        <v>357</v>
      </c>
      <c r="B358" t="s">
        <v>1019</v>
      </c>
      <c r="C358" t="s">
        <v>10</v>
      </c>
      <c r="D358" t="s">
        <v>1020</v>
      </c>
      <c r="E358" t="s">
        <v>1021</v>
      </c>
    </row>
    <row r="359" spans="1:5" x14ac:dyDescent="0.3">
      <c r="A359">
        <v>358</v>
      </c>
      <c r="B359" t="s">
        <v>1022</v>
      </c>
      <c r="C359" t="s">
        <v>29</v>
      </c>
      <c r="D359" t="s">
        <v>728</v>
      </c>
      <c r="E359" t="s">
        <v>1023</v>
      </c>
    </row>
    <row r="360" spans="1:5" x14ac:dyDescent="0.3">
      <c r="A360">
        <v>359</v>
      </c>
      <c r="B360" t="s">
        <v>1024</v>
      </c>
      <c r="C360" t="s">
        <v>14</v>
      </c>
      <c r="D360" t="s">
        <v>1025</v>
      </c>
      <c r="E360" t="s">
        <v>1026</v>
      </c>
    </row>
    <row r="361" spans="1:5" x14ac:dyDescent="0.3">
      <c r="A361">
        <v>360</v>
      </c>
      <c r="B361" t="s">
        <v>1027</v>
      </c>
      <c r="C361" t="s">
        <v>6</v>
      </c>
      <c r="D361" t="s">
        <v>405</v>
      </c>
      <c r="E361" t="s">
        <v>1028</v>
      </c>
    </row>
    <row r="362" spans="1:5" x14ac:dyDescent="0.3">
      <c r="A362">
        <v>361</v>
      </c>
      <c r="B362" t="s">
        <v>1029</v>
      </c>
      <c r="C362" t="s">
        <v>10</v>
      </c>
      <c r="D362" t="s">
        <v>1030</v>
      </c>
      <c r="E362" t="s">
        <v>1031</v>
      </c>
    </row>
    <row r="363" spans="1:5" x14ac:dyDescent="0.3">
      <c r="A363">
        <v>362</v>
      </c>
      <c r="B363" t="s">
        <v>1032</v>
      </c>
      <c r="C363" t="s">
        <v>6</v>
      </c>
      <c r="D363" t="s">
        <v>1033</v>
      </c>
      <c r="E363" t="s">
        <v>1034</v>
      </c>
    </row>
    <row r="364" spans="1:5" x14ac:dyDescent="0.3">
      <c r="A364">
        <v>363</v>
      </c>
      <c r="B364" t="s">
        <v>1035</v>
      </c>
      <c r="C364" t="s">
        <v>29</v>
      </c>
      <c r="D364" t="s">
        <v>1036</v>
      </c>
      <c r="E364" t="s">
        <v>1037</v>
      </c>
    </row>
    <row r="365" spans="1:5" x14ac:dyDescent="0.3">
      <c r="A365">
        <v>364</v>
      </c>
      <c r="B365" t="s">
        <v>1038</v>
      </c>
      <c r="C365" t="s">
        <v>29</v>
      </c>
      <c r="D365" t="s">
        <v>1039</v>
      </c>
      <c r="E365" t="s">
        <v>1040</v>
      </c>
    </row>
    <row r="366" spans="1:5" x14ac:dyDescent="0.3">
      <c r="A366">
        <v>365</v>
      </c>
      <c r="B366" t="s">
        <v>1041</v>
      </c>
      <c r="C366" t="s">
        <v>6</v>
      </c>
      <c r="D366" t="s">
        <v>1042</v>
      </c>
      <c r="E366" t="s">
        <v>1043</v>
      </c>
    </row>
    <row r="367" spans="1:5" x14ac:dyDescent="0.3">
      <c r="A367">
        <v>366</v>
      </c>
      <c r="B367" t="s">
        <v>1044</v>
      </c>
      <c r="C367" t="s">
        <v>14</v>
      </c>
      <c r="D367" t="s">
        <v>1045</v>
      </c>
      <c r="E367" t="s">
        <v>1046</v>
      </c>
    </row>
    <row r="368" spans="1:5" x14ac:dyDescent="0.3">
      <c r="A368">
        <v>367</v>
      </c>
      <c r="B368" t="s">
        <v>1047</v>
      </c>
      <c r="C368" t="s">
        <v>10</v>
      </c>
      <c r="D368" t="s">
        <v>1048</v>
      </c>
      <c r="E368" t="s">
        <v>1049</v>
      </c>
    </row>
    <row r="369" spans="1:5" x14ac:dyDescent="0.3">
      <c r="A369">
        <v>368</v>
      </c>
      <c r="B369" t="s">
        <v>1050</v>
      </c>
      <c r="C369" t="s">
        <v>14</v>
      </c>
      <c r="D369" t="s">
        <v>1051</v>
      </c>
      <c r="E369" t="s">
        <v>1052</v>
      </c>
    </row>
    <row r="370" spans="1:5" x14ac:dyDescent="0.3">
      <c r="A370">
        <v>369</v>
      </c>
      <c r="B370" t="s">
        <v>1053</v>
      </c>
      <c r="C370" t="s">
        <v>14</v>
      </c>
      <c r="D370" t="s">
        <v>436</v>
      </c>
      <c r="E370" t="s">
        <v>1054</v>
      </c>
    </row>
    <row r="371" spans="1:5" x14ac:dyDescent="0.3">
      <c r="A371">
        <v>370</v>
      </c>
      <c r="B371" t="s">
        <v>1055</v>
      </c>
      <c r="C371" t="s">
        <v>10</v>
      </c>
      <c r="D371" t="s">
        <v>1056</v>
      </c>
      <c r="E371" t="s">
        <v>1057</v>
      </c>
    </row>
    <row r="372" spans="1:5" x14ac:dyDescent="0.3">
      <c r="A372">
        <v>371</v>
      </c>
      <c r="B372" t="s">
        <v>1058</v>
      </c>
      <c r="C372" t="s">
        <v>14</v>
      </c>
      <c r="D372" t="s">
        <v>1059</v>
      </c>
      <c r="E372" t="s">
        <v>1060</v>
      </c>
    </row>
    <row r="373" spans="1:5" x14ac:dyDescent="0.3">
      <c r="A373">
        <v>372</v>
      </c>
      <c r="B373" t="s">
        <v>1061</v>
      </c>
      <c r="C373" t="s">
        <v>29</v>
      </c>
      <c r="D373" t="s">
        <v>1062</v>
      </c>
      <c r="E373" t="s">
        <v>1063</v>
      </c>
    </row>
    <row r="374" spans="1:5" x14ac:dyDescent="0.3">
      <c r="A374">
        <v>373</v>
      </c>
      <c r="B374" t="s">
        <v>1064</v>
      </c>
      <c r="C374" t="s">
        <v>6</v>
      </c>
      <c r="D374" t="s">
        <v>1065</v>
      </c>
      <c r="E374">
        <v>2597616873</v>
      </c>
    </row>
    <row r="375" spans="1:5" x14ac:dyDescent="0.3">
      <c r="A375">
        <v>374</v>
      </c>
      <c r="B375" t="s">
        <v>1066</v>
      </c>
      <c r="C375" t="s">
        <v>10</v>
      </c>
      <c r="D375" t="s">
        <v>1067</v>
      </c>
      <c r="E375" t="s">
        <v>1068</v>
      </c>
    </row>
    <row r="376" spans="1:5" x14ac:dyDescent="0.3">
      <c r="A376">
        <v>375</v>
      </c>
      <c r="B376" t="s">
        <v>1069</v>
      </c>
      <c r="C376" t="s">
        <v>6</v>
      </c>
      <c r="D376" t="s">
        <v>1070</v>
      </c>
      <c r="E376">
        <f>1-616-230-5539</f>
        <v>-6384</v>
      </c>
    </row>
    <row r="377" spans="1:5" x14ac:dyDescent="0.3">
      <c r="A377">
        <v>376</v>
      </c>
      <c r="B377" t="s">
        <v>1071</v>
      </c>
      <c r="C377" t="s">
        <v>14</v>
      </c>
      <c r="D377" t="s">
        <v>1072</v>
      </c>
      <c r="E377" t="s">
        <v>1073</v>
      </c>
    </row>
    <row r="378" spans="1:5" x14ac:dyDescent="0.3">
      <c r="A378">
        <v>377</v>
      </c>
      <c r="B378" t="s">
        <v>1074</v>
      </c>
      <c r="C378" t="s">
        <v>14</v>
      </c>
      <c r="D378" t="s">
        <v>1075</v>
      </c>
      <c r="E378">
        <v>7058064686</v>
      </c>
    </row>
    <row r="379" spans="1:5" x14ac:dyDescent="0.3">
      <c r="A379">
        <v>378</v>
      </c>
      <c r="B379" t="s">
        <v>1076</v>
      </c>
      <c r="C379" t="s">
        <v>6</v>
      </c>
      <c r="D379" t="s">
        <v>1077</v>
      </c>
      <c r="E379" t="s">
        <v>1078</v>
      </c>
    </row>
    <row r="380" spans="1:5" x14ac:dyDescent="0.3">
      <c r="A380">
        <v>379</v>
      </c>
      <c r="B380" t="s">
        <v>1079</v>
      </c>
      <c r="C380" t="s">
        <v>6</v>
      </c>
      <c r="D380" t="s">
        <v>1080</v>
      </c>
      <c r="E380" t="s">
        <v>1081</v>
      </c>
    </row>
    <row r="381" spans="1:5" x14ac:dyDescent="0.3">
      <c r="A381">
        <v>380</v>
      </c>
      <c r="B381" t="s">
        <v>1082</v>
      </c>
      <c r="C381" t="s">
        <v>29</v>
      </c>
      <c r="D381" t="s">
        <v>1083</v>
      </c>
      <c r="E381">
        <v>1340826530</v>
      </c>
    </row>
    <row r="382" spans="1:5" x14ac:dyDescent="0.3">
      <c r="A382">
        <v>381</v>
      </c>
      <c r="B382" t="s">
        <v>1084</v>
      </c>
      <c r="C382" t="s">
        <v>29</v>
      </c>
      <c r="D382" t="s">
        <v>1085</v>
      </c>
      <c r="E382">
        <v>8398518386</v>
      </c>
    </row>
    <row r="383" spans="1:5" x14ac:dyDescent="0.3">
      <c r="A383">
        <v>382</v>
      </c>
      <c r="B383" t="s">
        <v>1086</v>
      </c>
      <c r="C383" t="s">
        <v>6</v>
      </c>
      <c r="D383" t="s">
        <v>1087</v>
      </c>
      <c r="E383" t="s">
        <v>1088</v>
      </c>
    </row>
    <row r="384" spans="1:5" x14ac:dyDescent="0.3">
      <c r="A384">
        <v>383</v>
      </c>
      <c r="B384" t="s">
        <v>1089</v>
      </c>
      <c r="C384" t="s">
        <v>10</v>
      </c>
      <c r="D384" t="s">
        <v>1090</v>
      </c>
      <c r="E384" t="s">
        <v>1091</v>
      </c>
    </row>
    <row r="385" spans="1:5" x14ac:dyDescent="0.3">
      <c r="A385">
        <v>384</v>
      </c>
      <c r="B385" t="s">
        <v>1092</v>
      </c>
      <c r="C385" t="s">
        <v>29</v>
      </c>
      <c r="D385" t="s">
        <v>1093</v>
      </c>
      <c r="E385" t="s">
        <v>1094</v>
      </c>
    </row>
    <row r="386" spans="1:5" x14ac:dyDescent="0.3">
      <c r="A386">
        <v>385</v>
      </c>
      <c r="B386" t="s">
        <v>1095</v>
      </c>
      <c r="C386" t="s">
        <v>6</v>
      </c>
      <c r="D386" t="s">
        <v>1096</v>
      </c>
      <c r="E386" t="s">
        <v>1097</v>
      </c>
    </row>
    <row r="387" spans="1:5" x14ac:dyDescent="0.3">
      <c r="A387">
        <v>386</v>
      </c>
      <c r="B387" t="s">
        <v>1098</v>
      </c>
      <c r="C387" t="s">
        <v>10</v>
      </c>
      <c r="D387" t="s">
        <v>1099</v>
      </c>
      <c r="E387" t="s">
        <v>1100</v>
      </c>
    </row>
    <row r="388" spans="1:5" x14ac:dyDescent="0.3">
      <c r="A388">
        <v>387</v>
      </c>
      <c r="B388" t="s">
        <v>1101</v>
      </c>
      <c r="C388" t="s">
        <v>29</v>
      </c>
      <c r="D388" t="s">
        <v>1102</v>
      </c>
      <c r="E388" t="s">
        <v>1103</v>
      </c>
    </row>
    <row r="389" spans="1:5" x14ac:dyDescent="0.3">
      <c r="A389">
        <v>388</v>
      </c>
      <c r="B389" t="s">
        <v>1104</v>
      </c>
      <c r="C389" t="s">
        <v>29</v>
      </c>
      <c r="D389" t="s">
        <v>1105</v>
      </c>
      <c r="E389" t="s">
        <v>1106</v>
      </c>
    </row>
    <row r="390" spans="1:5" x14ac:dyDescent="0.3">
      <c r="A390">
        <v>389</v>
      </c>
      <c r="B390" t="s">
        <v>1107</v>
      </c>
      <c r="C390" t="s">
        <v>29</v>
      </c>
      <c r="D390" t="s">
        <v>1108</v>
      </c>
      <c r="E390" t="s">
        <v>1109</v>
      </c>
    </row>
    <row r="391" spans="1:5" x14ac:dyDescent="0.3">
      <c r="A391">
        <v>390</v>
      </c>
      <c r="B391" t="s">
        <v>1110</v>
      </c>
      <c r="C391" t="s">
        <v>14</v>
      </c>
      <c r="D391" t="s">
        <v>1111</v>
      </c>
      <c r="E391" t="s">
        <v>1112</v>
      </c>
    </row>
    <row r="392" spans="1:5" x14ac:dyDescent="0.3">
      <c r="A392">
        <v>391</v>
      </c>
      <c r="B392" t="s">
        <v>1113</v>
      </c>
      <c r="C392" t="s">
        <v>14</v>
      </c>
      <c r="D392" t="s">
        <v>1114</v>
      </c>
      <c r="E392" t="s">
        <v>1115</v>
      </c>
    </row>
    <row r="393" spans="1:5" x14ac:dyDescent="0.3">
      <c r="A393">
        <v>392</v>
      </c>
      <c r="B393" t="s">
        <v>1116</v>
      </c>
      <c r="C393" t="s">
        <v>14</v>
      </c>
      <c r="D393" t="s">
        <v>1117</v>
      </c>
      <c r="E393" t="s">
        <v>1118</v>
      </c>
    </row>
    <row r="394" spans="1:5" x14ac:dyDescent="0.3">
      <c r="A394">
        <v>393</v>
      </c>
      <c r="B394" t="s">
        <v>1119</v>
      </c>
      <c r="C394" t="s">
        <v>6</v>
      </c>
      <c r="D394" t="s">
        <v>1120</v>
      </c>
      <c r="E394" t="s">
        <v>1121</v>
      </c>
    </row>
    <row r="395" spans="1:5" x14ac:dyDescent="0.3">
      <c r="A395">
        <v>394</v>
      </c>
      <c r="B395" t="s">
        <v>1122</v>
      </c>
      <c r="C395" t="s">
        <v>29</v>
      </c>
      <c r="D395" t="s">
        <v>1123</v>
      </c>
      <c r="E395" t="s">
        <v>1124</v>
      </c>
    </row>
    <row r="396" spans="1:5" x14ac:dyDescent="0.3">
      <c r="A396">
        <v>395</v>
      </c>
      <c r="B396" t="s">
        <v>863</v>
      </c>
      <c r="C396" t="s">
        <v>29</v>
      </c>
      <c r="D396" t="s">
        <v>1125</v>
      </c>
      <c r="E396" t="s">
        <v>1126</v>
      </c>
    </row>
    <row r="397" spans="1:5" x14ac:dyDescent="0.3">
      <c r="A397">
        <v>396</v>
      </c>
      <c r="B397" t="s">
        <v>1127</v>
      </c>
      <c r="C397" t="s">
        <v>14</v>
      </c>
      <c r="D397" t="s">
        <v>1128</v>
      </c>
      <c r="E397" t="s">
        <v>1129</v>
      </c>
    </row>
    <row r="398" spans="1:5" x14ac:dyDescent="0.3">
      <c r="A398">
        <v>397</v>
      </c>
      <c r="B398" t="s">
        <v>1130</v>
      </c>
      <c r="C398" t="s">
        <v>10</v>
      </c>
      <c r="D398" t="s">
        <v>1131</v>
      </c>
      <c r="E398" t="s">
        <v>1132</v>
      </c>
    </row>
    <row r="399" spans="1:5" x14ac:dyDescent="0.3">
      <c r="A399">
        <v>398</v>
      </c>
      <c r="B399" t="s">
        <v>1133</v>
      </c>
      <c r="C399" t="s">
        <v>29</v>
      </c>
      <c r="D399" t="s">
        <v>1134</v>
      </c>
      <c r="E399" t="s">
        <v>1135</v>
      </c>
    </row>
    <row r="400" spans="1:5" x14ac:dyDescent="0.3">
      <c r="A400">
        <v>399</v>
      </c>
      <c r="B400" t="s">
        <v>1136</v>
      </c>
      <c r="C400" t="s">
        <v>29</v>
      </c>
      <c r="D400" t="s">
        <v>1137</v>
      </c>
      <c r="E400" t="s">
        <v>1138</v>
      </c>
    </row>
    <row r="401" spans="1:5" x14ac:dyDescent="0.3">
      <c r="A401">
        <v>400</v>
      </c>
      <c r="B401" t="s">
        <v>1139</v>
      </c>
      <c r="C401" t="s">
        <v>6</v>
      </c>
      <c r="D401" t="s">
        <v>1140</v>
      </c>
      <c r="E401" t="s">
        <v>1141</v>
      </c>
    </row>
    <row r="402" spans="1:5" x14ac:dyDescent="0.3">
      <c r="A402">
        <v>401</v>
      </c>
      <c r="B402" t="s">
        <v>1142</v>
      </c>
      <c r="C402" t="s">
        <v>29</v>
      </c>
      <c r="D402" t="s">
        <v>1143</v>
      </c>
      <c r="E402" t="s">
        <v>1144</v>
      </c>
    </row>
    <row r="403" spans="1:5" x14ac:dyDescent="0.3">
      <c r="A403">
        <v>402</v>
      </c>
      <c r="B403" t="s">
        <v>1145</v>
      </c>
      <c r="C403" t="s">
        <v>10</v>
      </c>
      <c r="D403" t="s">
        <v>1146</v>
      </c>
      <c r="E403">
        <f>1-759-332-7128</f>
        <v>-8218</v>
      </c>
    </row>
    <row r="404" spans="1:5" x14ac:dyDescent="0.3">
      <c r="A404">
        <v>403</v>
      </c>
      <c r="B404" t="s">
        <v>1147</v>
      </c>
      <c r="C404" t="s">
        <v>6</v>
      </c>
      <c r="D404" t="s">
        <v>1148</v>
      </c>
      <c r="E404" t="s">
        <v>1149</v>
      </c>
    </row>
    <row r="405" spans="1:5" x14ac:dyDescent="0.3">
      <c r="A405">
        <v>404</v>
      </c>
      <c r="B405" t="s">
        <v>1150</v>
      </c>
      <c r="C405" t="s">
        <v>6</v>
      </c>
      <c r="D405" t="s">
        <v>1151</v>
      </c>
      <c r="E405" t="s">
        <v>1152</v>
      </c>
    </row>
    <row r="406" spans="1:5" x14ac:dyDescent="0.3">
      <c r="A406">
        <v>405</v>
      </c>
      <c r="B406" t="s">
        <v>1153</v>
      </c>
      <c r="C406" t="s">
        <v>6</v>
      </c>
      <c r="D406" t="s">
        <v>1154</v>
      </c>
      <c r="E406" t="s">
        <v>1155</v>
      </c>
    </row>
    <row r="407" spans="1:5" x14ac:dyDescent="0.3">
      <c r="A407">
        <v>406</v>
      </c>
      <c r="B407" t="s">
        <v>1156</v>
      </c>
      <c r="C407" t="s">
        <v>14</v>
      </c>
      <c r="D407" t="s">
        <v>1157</v>
      </c>
      <c r="E407" t="s">
        <v>1158</v>
      </c>
    </row>
    <row r="408" spans="1:5" x14ac:dyDescent="0.3">
      <c r="A408">
        <v>407</v>
      </c>
      <c r="B408" t="s">
        <v>1159</v>
      </c>
      <c r="C408" t="s">
        <v>29</v>
      </c>
      <c r="D408" t="s">
        <v>1160</v>
      </c>
      <c r="E408" t="s">
        <v>1161</v>
      </c>
    </row>
    <row r="409" spans="1:5" x14ac:dyDescent="0.3">
      <c r="A409">
        <v>408</v>
      </c>
      <c r="B409" t="s">
        <v>1162</v>
      </c>
      <c r="C409" t="s">
        <v>10</v>
      </c>
      <c r="D409" t="s">
        <v>1163</v>
      </c>
      <c r="E409" t="s">
        <v>1164</v>
      </c>
    </row>
    <row r="410" spans="1:5" x14ac:dyDescent="0.3">
      <c r="A410">
        <v>409</v>
      </c>
      <c r="B410" t="s">
        <v>1165</v>
      </c>
      <c r="C410" t="s">
        <v>6</v>
      </c>
      <c r="D410" t="s">
        <v>1166</v>
      </c>
      <c r="E410" t="s">
        <v>1167</v>
      </c>
    </row>
    <row r="411" spans="1:5" x14ac:dyDescent="0.3">
      <c r="A411">
        <v>410</v>
      </c>
      <c r="B411" t="s">
        <v>1168</v>
      </c>
      <c r="C411" t="s">
        <v>29</v>
      </c>
      <c r="D411" t="s">
        <v>1169</v>
      </c>
      <c r="E411" t="s">
        <v>1170</v>
      </c>
    </row>
    <row r="412" spans="1:5" x14ac:dyDescent="0.3">
      <c r="A412">
        <v>411</v>
      </c>
      <c r="B412" t="s">
        <v>1171</v>
      </c>
      <c r="C412" t="s">
        <v>6</v>
      </c>
      <c r="D412" t="s">
        <v>1172</v>
      </c>
      <c r="E412" t="s">
        <v>1173</v>
      </c>
    </row>
    <row r="413" spans="1:5" x14ac:dyDescent="0.3">
      <c r="A413">
        <v>412</v>
      </c>
      <c r="B413" t="s">
        <v>1174</v>
      </c>
      <c r="C413" t="s">
        <v>14</v>
      </c>
      <c r="D413" t="s">
        <v>1175</v>
      </c>
      <c r="E413" t="s">
        <v>1176</v>
      </c>
    </row>
    <row r="414" spans="1:5" x14ac:dyDescent="0.3">
      <c r="A414">
        <v>413</v>
      </c>
      <c r="B414" t="s">
        <v>1177</v>
      </c>
      <c r="C414" t="s">
        <v>14</v>
      </c>
      <c r="D414" t="s">
        <v>1178</v>
      </c>
      <c r="E414" t="s">
        <v>1179</v>
      </c>
    </row>
    <row r="415" spans="1:5" x14ac:dyDescent="0.3">
      <c r="A415">
        <v>414</v>
      </c>
      <c r="B415" t="s">
        <v>1180</v>
      </c>
      <c r="C415" t="s">
        <v>14</v>
      </c>
      <c r="D415" t="s">
        <v>1181</v>
      </c>
      <c r="E415" t="s">
        <v>1182</v>
      </c>
    </row>
    <row r="416" spans="1:5" x14ac:dyDescent="0.3">
      <c r="A416">
        <v>415</v>
      </c>
      <c r="B416" t="s">
        <v>1183</v>
      </c>
      <c r="C416" t="s">
        <v>10</v>
      </c>
      <c r="D416" t="s">
        <v>1184</v>
      </c>
      <c r="E416" t="s">
        <v>1185</v>
      </c>
    </row>
    <row r="417" spans="1:5" x14ac:dyDescent="0.3">
      <c r="A417">
        <v>416</v>
      </c>
      <c r="B417" t="s">
        <v>1186</v>
      </c>
      <c r="C417" t="s">
        <v>6</v>
      </c>
      <c r="D417" t="s">
        <v>1187</v>
      </c>
      <c r="E417" t="s">
        <v>1188</v>
      </c>
    </row>
    <row r="418" spans="1:5" x14ac:dyDescent="0.3">
      <c r="A418">
        <v>417</v>
      </c>
      <c r="B418" t="s">
        <v>1189</v>
      </c>
      <c r="C418" t="s">
        <v>14</v>
      </c>
      <c r="D418" t="s">
        <v>1190</v>
      </c>
      <c r="E418" t="s">
        <v>1191</v>
      </c>
    </row>
    <row r="419" spans="1:5" x14ac:dyDescent="0.3">
      <c r="A419">
        <v>418</v>
      </c>
      <c r="B419" t="s">
        <v>1192</v>
      </c>
      <c r="C419" t="s">
        <v>29</v>
      </c>
      <c r="D419" t="s">
        <v>1193</v>
      </c>
      <c r="E419" t="s">
        <v>1194</v>
      </c>
    </row>
    <row r="420" spans="1:5" x14ac:dyDescent="0.3">
      <c r="A420">
        <v>419</v>
      </c>
      <c r="B420" t="s">
        <v>1195</v>
      </c>
      <c r="C420" t="s">
        <v>6</v>
      </c>
      <c r="D420" t="s">
        <v>1196</v>
      </c>
      <c r="E420" t="s">
        <v>1197</v>
      </c>
    </row>
    <row r="421" spans="1:5" x14ac:dyDescent="0.3">
      <c r="A421">
        <v>420</v>
      </c>
      <c r="B421" t="s">
        <v>1198</v>
      </c>
      <c r="C421" t="s">
        <v>29</v>
      </c>
      <c r="D421" t="s">
        <v>1199</v>
      </c>
      <c r="E421" t="s">
        <v>1200</v>
      </c>
    </row>
    <row r="422" spans="1:5" x14ac:dyDescent="0.3">
      <c r="A422">
        <v>421</v>
      </c>
      <c r="B422" t="s">
        <v>1201</v>
      </c>
      <c r="C422" t="s">
        <v>6</v>
      </c>
      <c r="D422" t="s">
        <v>1202</v>
      </c>
      <c r="E422" t="s">
        <v>1203</v>
      </c>
    </row>
    <row r="423" spans="1:5" x14ac:dyDescent="0.3">
      <c r="A423">
        <v>422</v>
      </c>
      <c r="B423" t="s">
        <v>1204</v>
      </c>
      <c r="C423" t="s">
        <v>29</v>
      </c>
      <c r="D423" t="s">
        <v>1205</v>
      </c>
      <c r="E423" t="s">
        <v>1206</v>
      </c>
    </row>
    <row r="424" spans="1:5" x14ac:dyDescent="0.3">
      <c r="A424">
        <v>423</v>
      </c>
      <c r="B424" t="s">
        <v>1207</v>
      </c>
      <c r="C424" t="s">
        <v>10</v>
      </c>
      <c r="D424" t="s">
        <v>1208</v>
      </c>
      <c r="E424" t="s">
        <v>1209</v>
      </c>
    </row>
    <row r="425" spans="1:5" x14ac:dyDescent="0.3">
      <c r="A425">
        <v>424</v>
      </c>
      <c r="B425" t="s">
        <v>1210</v>
      </c>
      <c r="C425" t="s">
        <v>29</v>
      </c>
      <c r="D425" t="s">
        <v>1211</v>
      </c>
      <c r="E425" t="s">
        <v>1212</v>
      </c>
    </row>
    <row r="426" spans="1:5" x14ac:dyDescent="0.3">
      <c r="A426">
        <v>425</v>
      </c>
      <c r="B426" t="s">
        <v>1213</v>
      </c>
      <c r="C426" t="s">
        <v>14</v>
      </c>
      <c r="D426" t="s">
        <v>1214</v>
      </c>
      <c r="E426" t="s">
        <v>1215</v>
      </c>
    </row>
    <row r="427" spans="1:5" x14ac:dyDescent="0.3">
      <c r="A427">
        <v>426</v>
      </c>
      <c r="B427" t="s">
        <v>1216</v>
      </c>
      <c r="C427" t="s">
        <v>6</v>
      </c>
      <c r="D427" t="s">
        <v>1217</v>
      </c>
      <c r="E427" t="s">
        <v>1218</v>
      </c>
    </row>
    <row r="428" spans="1:5" x14ac:dyDescent="0.3">
      <c r="A428">
        <v>427</v>
      </c>
      <c r="B428" t="s">
        <v>1219</v>
      </c>
      <c r="C428" t="s">
        <v>14</v>
      </c>
      <c r="D428" t="s">
        <v>1220</v>
      </c>
      <c r="E428" t="s">
        <v>1221</v>
      </c>
    </row>
    <row r="429" spans="1:5" x14ac:dyDescent="0.3">
      <c r="A429">
        <v>428</v>
      </c>
      <c r="B429" t="s">
        <v>1222</v>
      </c>
      <c r="C429" t="s">
        <v>14</v>
      </c>
      <c r="D429" t="s">
        <v>1223</v>
      </c>
      <c r="E429">
        <f>1-896-18-1230</f>
        <v>-2143</v>
      </c>
    </row>
    <row r="430" spans="1:5" x14ac:dyDescent="0.3">
      <c r="A430">
        <v>429</v>
      </c>
      <c r="B430" t="s">
        <v>1224</v>
      </c>
      <c r="C430" t="s">
        <v>6</v>
      </c>
      <c r="D430" t="s">
        <v>1225</v>
      </c>
      <c r="E430">
        <v>2886093038</v>
      </c>
    </row>
    <row r="431" spans="1:5" x14ac:dyDescent="0.3">
      <c r="A431">
        <v>430</v>
      </c>
      <c r="B431" t="s">
        <v>1226</v>
      </c>
      <c r="C431" t="s">
        <v>14</v>
      </c>
      <c r="D431" t="s">
        <v>1227</v>
      </c>
      <c r="E431" t="s">
        <v>1228</v>
      </c>
    </row>
    <row r="432" spans="1:5" x14ac:dyDescent="0.3">
      <c r="A432">
        <v>431</v>
      </c>
      <c r="B432" t="s">
        <v>1229</v>
      </c>
      <c r="C432" t="s">
        <v>29</v>
      </c>
      <c r="D432" t="s">
        <v>1230</v>
      </c>
      <c r="E432" t="s">
        <v>1231</v>
      </c>
    </row>
    <row r="433" spans="1:5" x14ac:dyDescent="0.3">
      <c r="A433">
        <v>432</v>
      </c>
      <c r="B433" t="s">
        <v>1232</v>
      </c>
      <c r="C433" t="s">
        <v>14</v>
      </c>
      <c r="D433" t="s">
        <v>1233</v>
      </c>
      <c r="E433" t="s">
        <v>1234</v>
      </c>
    </row>
    <row r="434" spans="1:5" x14ac:dyDescent="0.3">
      <c r="A434">
        <v>433</v>
      </c>
      <c r="B434" t="s">
        <v>1235</v>
      </c>
      <c r="C434" t="s">
        <v>10</v>
      </c>
      <c r="D434" t="s">
        <v>1236</v>
      </c>
      <c r="E434" t="s">
        <v>1237</v>
      </c>
    </row>
    <row r="435" spans="1:5" x14ac:dyDescent="0.3">
      <c r="A435">
        <v>434</v>
      </c>
      <c r="B435" t="s">
        <v>1238</v>
      </c>
      <c r="C435" t="s">
        <v>14</v>
      </c>
      <c r="D435" t="s">
        <v>1239</v>
      </c>
      <c r="E435" t="s">
        <v>1240</v>
      </c>
    </row>
    <row r="436" spans="1:5" x14ac:dyDescent="0.3">
      <c r="A436">
        <v>435</v>
      </c>
      <c r="B436" t="s">
        <v>1241</v>
      </c>
      <c r="C436" t="s">
        <v>6</v>
      </c>
      <c r="D436" t="s">
        <v>1242</v>
      </c>
      <c r="E436" t="s">
        <v>1243</v>
      </c>
    </row>
    <row r="437" spans="1:5" x14ac:dyDescent="0.3">
      <c r="A437">
        <v>436</v>
      </c>
      <c r="B437" t="s">
        <v>1244</v>
      </c>
      <c r="C437" t="s">
        <v>14</v>
      </c>
      <c r="D437" t="s">
        <v>1245</v>
      </c>
      <c r="E437" t="s">
        <v>1246</v>
      </c>
    </row>
    <row r="438" spans="1:5" x14ac:dyDescent="0.3">
      <c r="A438">
        <v>437</v>
      </c>
      <c r="B438" t="s">
        <v>1247</v>
      </c>
      <c r="C438" t="s">
        <v>6</v>
      </c>
      <c r="D438" t="s">
        <v>1248</v>
      </c>
      <c r="E438" t="s">
        <v>1249</v>
      </c>
    </row>
    <row r="439" spans="1:5" x14ac:dyDescent="0.3">
      <c r="A439">
        <v>438</v>
      </c>
      <c r="B439" t="s">
        <v>1250</v>
      </c>
      <c r="C439" t="s">
        <v>10</v>
      </c>
      <c r="D439" t="s">
        <v>1251</v>
      </c>
      <c r="E439" t="s">
        <v>1252</v>
      </c>
    </row>
    <row r="440" spans="1:5" x14ac:dyDescent="0.3">
      <c r="A440">
        <v>439</v>
      </c>
      <c r="B440" t="s">
        <v>1253</v>
      </c>
      <c r="C440" t="s">
        <v>6</v>
      </c>
      <c r="D440" t="s">
        <v>1254</v>
      </c>
      <c r="E440" t="s">
        <v>1255</v>
      </c>
    </row>
    <row r="441" spans="1:5" x14ac:dyDescent="0.3">
      <c r="A441">
        <v>440</v>
      </c>
      <c r="B441" t="s">
        <v>1256</v>
      </c>
      <c r="C441" t="s">
        <v>10</v>
      </c>
      <c r="D441" t="s">
        <v>1257</v>
      </c>
      <c r="E441" t="s">
        <v>1258</v>
      </c>
    </row>
    <row r="442" spans="1:5" x14ac:dyDescent="0.3">
      <c r="A442">
        <v>441</v>
      </c>
      <c r="B442" t="s">
        <v>1259</v>
      </c>
      <c r="C442" t="s">
        <v>29</v>
      </c>
      <c r="D442" t="s">
        <v>1260</v>
      </c>
      <c r="E442" t="s">
        <v>1261</v>
      </c>
    </row>
    <row r="443" spans="1:5" x14ac:dyDescent="0.3">
      <c r="A443">
        <v>442</v>
      </c>
      <c r="B443" t="s">
        <v>1262</v>
      </c>
      <c r="C443" t="s">
        <v>14</v>
      </c>
      <c r="D443" t="s">
        <v>1263</v>
      </c>
      <c r="E443" t="s">
        <v>1264</v>
      </c>
    </row>
    <row r="444" spans="1:5" x14ac:dyDescent="0.3">
      <c r="A444">
        <v>443</v>
      </c>
      <c r="B444" t="s">
        <v>1265</v>
      </c>
      <c r="C444" t="s">
        <v>10</v>
      </c>
      <c r="D444" t="s">
        <v>1266</v>
      </c>
      <c r="E444" t="s">
        <v>1267</v>
      </c>
    </row>
    <row r="445" spans="1:5" x14ac:dyDescent="0.3">
      <c r="A445">
        <v>444</v>
      </c>
      <c r="B445" t="s">
        <v>1268</v>
      </c>
      <c r="C445" t="s">
        <v>10</v>
      </c>
      <c r="D445" t="s">
        <v>1269</v>
      </c>
      <c r="E445" t="s">
        <v>1270</v>
      </c>
    </row>
    <row r="446" spans="1:5" x14ac:dyDescent="0.3">
      <c r="A446">
        <v>445</v>
      </c>
      <c r="B446" t="s">
        <v>1271</v>
      </c>
      <c r="C446" t="s">
        <v>14</v>
      </c>
      <c r="D446" t="s">
        <v>1272</v>
      </c>
      <c r="E446" t="s">
        <v>1273</v>
      </c>
    </row>
    <row r="447" spans="1:5" x14ac:dyDescent="0.3">
      <c r="A447">
        <v>446</v>
      </c>
      <c r="B447" t="s">
        <v>1274</v>
      </c>
      <c r="C447" t="s">
        <v>14</v>
      </c>
      <c r="D447" t="s">
        <v>1275</v>
      </c>
      <c r="E447" t="s">
        <v>1276</v>
      </c>
    </row>
    <row r="448" spans="1:5" x14ac:dyDescent="0.3">
      <c r="A448">
        <v>447</v>
      </c>
      <c r="B448" t="s">
        <v>1277</v>
      </c>
      <c r="C448" t="s">
        <v>10</v>
      </c>
      <c r="D448" t="s">
        <v>1278</v>
      </c>
      <c r="E448" t="s">
        <v>1279</v>
      </c>
    </row>
    <row r="449" spans="1:5" x14ac:dyDescent="0.3">
      <c r="A449">
        <v>448</v>
      </c>
      <c r="B449" t="s">
        <v>1280</v>
      </c>
      <c r="C449" t="s">
        <v>6</v>
      </c>
      <c r="D449" t="s">
        <v>1281</v>
      </c>
      <c r="E449">
        <v>155752106</v>
      </c>
    </row>
    <row r="450" spans="1:5" x14ac:dyDescent="0.3">
      <c r="A450">
        <v>449</v>
      </c>
      <c r="B450" t="s">
        <v>1282</v>
      </c>
      <c r="C450" t="s">
        <v>14</v>
      </c>
      <c r="D450" t="s">
        <v>1283</v>
      </c>
      <c r="E450">
        <v>1271218776</v>
      </c>
    </row>
    <row r="451" spans="1:5" x14ac:dyDescent="0.3">
      <c r="A451">
        <v>450</v>
      </c>
      <c r="B451" t="s">
        <v>1284</v>
      </c>
      <c r="C451" t="s">
        <v>29</v>
      </c>
      <c r="D451" t="s">
        <v>1285</v>
      </c>
      <c r="E451" t="s">
        <v>1286</v>
      </c>
    </row>
    <row r="452" spans="1:5" x14ac:dyDescent="0.3">
      <c r="A452">
        <v>451</v>
      </c>
      <c r="B452" t="s">
        <v>1287</v>
      </c>
      <c r="C452" t="s">
        <v>6</v>
      </c>
      <c r="D452" t="s">
        <v>1288</v>
      </c>
      <c r="E452" t="s">
        <v>1289</v>
      </c>
    </row>
    <row r="453" spans="1:5" x14ac:dyDescent="0.3">
      <c r="A453">
        <v>452</v>
      </c>
      <c r="B453" t="s">
        <v>1290</v>
      </c>
      <c r="C453" t="s">
        <v>29</v>
      </c>
      <c r="D453" t="s">
        <v>1291</v>
      </c>
      <c r="E453" t="s">
        <v>1292</v>
      </c>
    </row>
    <row r="454" spans="1:5" x14ac:dyDescent="0.3">
      <c r="A454">
        <v>453</v>
      </c>
      <c r="B454" t="s">
        <v>1293</v>
      </c>
      <c r="C454" t="s">
        <v>14</v>
      </c>
      <c r="D454" t="s">
        <v>1294</v>
      </c>
      <c r="E454" t="s">
        <v>1295</v>
      </c>
    </row>
    <row r="455" spans="1:5" x14ac:dyDescent="0.3">
      <c r="A455">
        <v>454</v>
      </c>
      <c r="B455" t="s">
        <v>1296</v>
      </c>
      <c r="C455" t="s">
        <v>14</v>
      </c>
      <c r="D455" t="s">
        <v>1297</v>
      </c>
      <c r="E455" t="s">
        <v>1298</v>
      </c>
    </row>
    <row r="456" spans="1:5" x14ac:dyDescent="0.3">
      <c r="A456">
        <v>455</v>
      </c>
      <c r="B456" t="s">
        <v>1299</v>
      </c>
      <c r="C456" t="s">
        <v>10</v>
      </c>
      <c r="D456" t="s">
        <v>1300</v>
      </c>
      <c r="E456">
        <v>9581893095</v>
      </c>
    </row>
    <row r="457" spans="1:5" x14ac:dyDescent="0.3">
      <c r="A457">
        <v>456</v>
      </c>
      <c r="B457" t="s">
        <v>1301</v>
      </c>
      <c r="C457" t="s">
        <v>29</v>
      </c>
      <c r="D457" t="s">
        <v>1302</v>
      </c>
      <c r="E457">
        <v>2914238876</v>
      </c>
    </row>
    <row r="458" spans="1:5" x14ac:dyDescent="0.3">
      <c r="A458">
        <v>457</v>
      </c>
      <c r="B458" t="s">
        <v>1303</v>
      </c>
      <c r="C458" t="s">
        <v>29</v>
      </c>
      <c r="D458" t="s">
        <v>1304</v>
      </c>
      <c r="E458" t="s">
        <v>1305</v>
      </c>
    </row>
    <row r="459" spans="1:5" x14ac:dyDescent="0.3">
      <c r="A459">
        <v>458</v>
      </c>
      <c r="B459" t="s">
        <v>1306</v>
      </c>
      <c r="C459" t="s">
        <v>29</v>
      </c>
      <c r="D459" t="s">
        <v>1307</v>
      </c>
      <c r="E459" t="s">
        <v>1308</v>
      </c>
    </row>
    <row r="460" spans="1:5" x14ac:dyDescent="0.3">
      <c r="A460">
        <v>459</v>
      </c>
      <c r="B460" t="s">
        <v>1309</v>
      </c>
      <c r="C460" t="s">
        <v>14</v>
      </c>
      <c r="D460" t="s">
        <v>1310</v>
      </c>
      <c r="E460" t="s">
        <v>1311</v>
      </c>
    </row>
    <row r="461" spans="1:5" x14ac:dyDescent="0.3">
      <c r="A461">
        <v>460</v>
      </c>
      <c r="B461" t="s">
        <v>1312</v>
      </c>
      <c r="C461" t="s">
        <v>6</v>
      </c>
      <c r="D461" t="s">
        <v>1313</v>
      </c>
      <c r="E461" t="s">
        <v>1314</v>
      </c>
    </row>
    <row r="462" spans="1:5" x14ac:dyDescent="0.3">
      <c r="A462">
        <v>461</v>
      </c>
      <c r="B462" t="s">
        <v>1315</v>
      </c>
      <c r="C462" t="s">
        <v>14</v>
      </c>
      <c r="D462" t="s">
        <v>1316</v>
      </c>
      <c r="E462">
        <v>9693197491</v>
      </c>
    </row>
    <row r="463" spans="1:5" x14ac:dyDescent="0.3">
      <c r="A463">
        <v>462</v>
      </c>
      <c r="B463" t="s">
        <v>1317</v>
      </c>
      <c r="C463" t="s">
        <v>29</v>
      </c>
      <c r="D463" t="s">
        <v>1318</v>
      </c>
      <c r="E463">
        <v>686804383</v>
      </c>
    </row>
    <row r="464" spans="1:5" x14ac:dyDescent="0.3">
      <c r="A464">
        <v>463</v>
      </c>
      <c r="B464" t="s">
        <v>1319</v>
      </c>
      <c r="C464" t="s">
        <v>29</v>
      </c>
      <c r="D464" t="s">
        <v>1320</v>
      </c>
      <c r="E464" t="s">
        <v>1321</v>
      </c>
    </row>
    <row r="465" spans="1:5" x14ac:dyDescent="0.3">
      <c r="A465">
        <v>464</v>
      </c>
      <c r="B465" t="s">
        <v>1322</v>
      </c>
      <c r="C465" t="s">
        <v>6</v>
      </c>
      <c r="D465" t="s">
        <v>1323</v>
      </c>
      <c r="E465" t="s">
        <v>1324</v>
      </c>
    </row>
    <row r="466" spans="1:5" x14ac:dyDescent="0.3">
      <c r="A466">
        <v>465</v>
      </c>
      <c r="B466" t="s">
        <v>1325</v>
      </c>
      <c r="C466" t="s">
        <v>6</v>
      </c>
      <c r="D466" t="s">
        <v>1326</v>
      </c>
      <c r="E466" t="s">
        <v>1327</v>
      </c>
    </row>
    <row r="467" spans="1:5" x14ac:dyDescent="0.3">
      <c r="A467">
        <v>466</v>
      </c>
      <c r="B467" t="s">
        <v>1328</v>
      </c>
      <c r="C467" t="s">
        <v>10</v>
      </c>
      <c r="D467" t="s">
        <v>1329</v>
      </c>
      <c r="E467" t="s">
        <v>1330</v>
      </c>
    </row>
    <row r="468" spans="1:5" x14ac:dyDescent="0.3">
      <c r="A468">
        <v>467</v>
      </c>
      <c r="B468" t="s">
        <v>1331</v>
      </c>
      <c r="C468" t="s">
        <v>29</v>
      </c>
      <c r="D468" t="s">
        <v>1332</v>
      </c>
      <c r="E468" t="s">
        <v>1333</v>
      </c>
    </row>
    <row r="469" spans="1:5" x14ac:dyDescent="0.3">
      <c r="A469">
        <v>468</v>
      </c>
      <c r="B469" t="s">
        <v>1334</v>
      </c>
      <c r="C469" t="s">
        <v>6</v>
      </c>
      <c r="D469" t="s">
        <v>1335</v>
      </c>
      <c r="E469" t="s">
        <v>1336</v>
      </c>
    </row>
    <row r="470" spans="1:5" x14ac:dyDescent="0.3">
      <c r="A470">
        <v>469</v>
      </c>
      <c r="B470" t="s">
        <v>1337</v>
      </c>
      <c r="C470" t="s">
        <v>10</v>
      </c>
      <c r="D470" t="s">
        <v>1338</v>
      </c>
      <c r="E470" t="s">
        <v>1339</v>
      </c>
    </row>
    <row r="471" spans="1:5" x14ac:dyDescent="0.3">
      <c r="A471">
        <v>470</v>
      </c>
      <c r="B471" t="s">
        <v>1340</v>
      </c>
      <c r="C471" t="s">
        <v>14</v>
      </c>
      <c r="D471" t="s">
        <v>1341</v>
      </c>
      <c r="E471" t="s">
        <v>1342</v>
      </c>
    </row>
    <row r="472" spans="1:5" x14ac:dyDescent="0.3">
      <c r="A472">
        <v>471</v>
      </c>
      <c r="B472" t="s">
        <v>1343</v>
      </c>
      <c r="C472" t="s">
        <v>14</v>
      </c>
      <c r="D472" t="s">
        <v>1344</v>
      </c>
      <c r="E472" t="s">
        <v>1345</v>
      </c>
    </row>
    <row r="473" spans="1:5" x14ac:dyDescent="0.3">
      <c r="A473">
        <v>472</v>
      </c>
      <c r="B473" t="s">
        <v>1346</v>
      </c>
      <c r="C473" t="s">
        <v>29</v>
      </c>
      <c r="D473" t="s">
        <v>1347</v>
      </c>
      <c r="E473" t="s">
        <v>1348</v>
      </c>
    </row>
    <row r="474" spans="1:5" x14ac:dyDescent="0.3">
      <c r="A474">
        <v>473</v>
      </c>
      <c r="B474" t="s">
        <v>1349</v>
      </c>
      <c r="C474" t="s">
        <v>6</v>
      </c>
      <c r="D474" t="s">
        <v>1350</v>
      </c>
      <c r="E474" t="s">
        <v>1351</v>
      </c>
    </row>
    <row r="475" spans="1:5" x14ac:dyDescent="0.3">
      <c r="A475">
        <v>474</v>
      </c>
      <c r="B475" t="s">
        <v>1352</v>
      </c>
      <c r="C475" t="s">
        <v>29</v>
      </c>
      <c r="D475" t="s">
        <v>1353</v>
      </c>
      <c r="E475" t="s">
        <v>1354</v>
      </c>
    </row>
    <row r="476" spans="1:5" x14ac:dyDescent="0.3">
      <c r="A476">
        <v>475</v>
      </c>
      <c r="B476" t="s">
        <v>1355</v>
      </c>
      <c r="C476" t="s">
        <v>10</v>
      </c>
      <c r="D476" t="s">
        <v>1356</v>
      </c>
      <c r="E476" t="s">
        <v>1357</v>
      </c>
    </row>
    <row r="477" spans="1:5" x14ac:dyDescent="0.3">
      <c r="A477">
        <v>476</v>
      </c>
      <c r="B477" t="s">
        <v>1358</v>
      </c>
      <c r="C477" t="s">
        <v>6</v>
      </c>
      <c r="D477" t="s">
        <v>1359</v>
      </c>
      <c r="E477" t="s">
        <v>1360</v>
      </c>
    </row>
    <row r="478" spans="1:5" x14ac:dyDescent="0.3">
      <c r="A478">
        <v>477</v>
      </c>
      <c r="B478" t="s">
        <v>1361</v>
      </c>
      <c r="C478" t="s">
        <v>6</v>
      </c>
      <c r="D478" t="s">
        <v>979</v>
      </c>
      <c r="E478" t="s">
        <v>1362</v>
      </c>
    </row>
    <row r="479" spans="1:5" x14ac:dyDescent="0.3">
      <c r="A479">
        <v>478</v>
      </c>
      <c r="B479" t="s">
        <v>1363</v>
      </c>
      <c r="C479" t="s">
        <v>14</v>
      </c>
      <c r="D479" t="s">
        <v>1364</v>
      </c>
      <c r="E479" t="s">
        <v>1365</v>
      </c>
    </row>
    <row r="480" spans="1:5" x14ac:dyDescent="0.3">
      <c r="A480">
        <v>479</v>
      </c>
      <c r="B480" t="s">
        <v>1366</v>
      </c>
      <c r="C480" t="s">
        <v>14</v>
      </c>
      <c r="D480" t="s">
        <v>1367</v>
      </c>
      <c r="E480" t="s">
        <v>1368</v>
      </c>
    </row>
    <row r="481" spans="1:5" x14ac:dyDescent="0.3">
      <c r="A481">
        <v>480</v>
      </c>
      <c r="B481" t="s">
        <v>1369</v>
      </c>
      <c r="C481" t="s">
        <v>14</v>
      </c>
      <c r="D481" t="s">
        <v>1370</v>
      </c>
      <c r="E481" t="s">
        <v>1371</v>
      </c>
    </row>
    <row r="482" spans="1:5" x14ac:dyDescent="0.3">
      <c r="A482">
        <v>481</v>
      </c>
      <c r="B482" t="s">
        <v>369</v>
      </c>
      <c r="C482" t="s">
        <v>6</v>
      </c>
      <c r="D482" t="s">
        <v>1372</v>
      </c>
      <c r="E482" t="s">
        <v>1373</v>
      </c>
    </row>
    <row r="483" spans="1:5" x14ac:dyDescent="0.3">
      <c r="A483">
        <v>482</v>
      </c>
      <c r="B483" t="s">
        <v>1374</v>
      </c>
      <c r="C483" t="s">
        <v>14</v>
      </c>
      <c r="D483" t="s">
        <v>1375</v>
      </c>
      <c r="E483">
        <v>9075323328</v>
      </c>
    </row>
    <row r="484" spans="1:5" x14ac:dyDescent="0.3">
      <c r="A484">
        <v>483</v>
      </c>
      <c r="B484" t="s">
        <v>1376</v>
      </c>
      <c r="C484" t="s">
        <v>29</v>
      </c>
      <c r="D484" t="s">
        <v>1377</v>
      </c>
      <c r="E484" t="s">
        <v>1378</v>
      </c>
    </row>
    <row r="485" spans="1:5" x14ac:dyDescent="0.3">
      <c r="A485">
        <v>484</v>
      </c>
      <c r="B485" t="s">
        <v>1379</v>
      </c>
      <c r="C485" t="s">
        <v>6</v>
      </c>
      <c r="D485" t="s">
        <v>1380</v>
      </c>
      <c r="E485" t="s">
        <v>1381</v>
      </c>
    </row>
    <row r="486" spans="1:5" x14ac:dyDescent="0.3">
      <c r="A486">
        <v>485</v>
      </c>
      <c r="B486" t="s">
        <v>1382</v>
      </c>
      <c r="C486" t="s">
        <v>29</v>
      </c>
      <c r="D486" t="s">
        <v>1181</v>
      </c>
      <c r="E486" t="s">
        <v>1383</v>
      </c>
    </row>
    <row r="487" spans="1:5" x14ac:dyDescent="0.3">
      <c r="A487">
        <v>486</v>
      </c>
      <c r="B487" t="s">
        <v>1384</v>
      </c>
      <c r="C487" t="s">
        <v>6</v>
      </c>
      <c r="D487" t="s">
        <v>1385</v>
      </c>
      <c r="E487" t="s">
        <v>1386</v>
      </c>
    </row>
    <row r="488" spans="1:5" x14ac:dyDescent="0.3">
      <c r="A488">
        <v>487</v>
      </c>
      <c r="B488" t="s">
        <v>1387</v>
      </c>
      <c r="C488" t="s">
        <v>14</v>
      </c>
      <c r="D488" t="s">
        <v>1388</v>
      </c>
      <c r="E488" t="s">
        <v>1389</v>
      </c>
    </row>
    <row r="489" spans="1:5" x14ac:dyDescent="0.3">
      <c r="A489">
        <v>488</v>
      </c>
      <c r="B489" t="s">
        <v>1390</v>
      </c>
      <c r="C489" t="s">
        <v>29</v>
      </c>
      <c r="D489" t="s">
        <v>1391</v>
      </c>
      <c r="E489" t="s">
        <v>1392</v>
      </c>
    </row>
    <row r="490" spans="1:5" x14ac:dyDescent="0.3">
      <c r="A490">
        <v>489</v>
      </c>
      <c r="B490" t="s">
        <v>1393</v>
      </c>
      <c r="C490" t="s">
        <v>29</v>
      </c>
      <c r="D490" t="s">
        <v>1394</v>
      </c>
      <c r="E490" t="s">
        <v>1395</v>
      </c>
    </row>
    <row r="491" spans="1:5" x14ac:dyDescent="0.3">
      <c r="A491">
        <v>490</v>
      </c>
      <c r="B491" t="s">
        <v>1396</v>
      </c>
      <c r="C491" t="s">
        <v>14</v>
      </c>
      <c r="D491" t="s">
        <v>1397</v>
      </c>
      <c r="E491" t="s">
        <v>1398</v>
      </c>
    </row>
    <row r="492" spans="1:5" x14ac:dyDescent="0.3">
      <c r="A492">
        <v>491</v>
      </c>
      <c r="B492" t="s">
        <v>1399</v>
      </c>
      <c r="C492" t="s">
        <v>29</v>
      </c>
      <c r="D492" t="s">
        <v>1400</v>
      </c>
      <c r="E492">
        <v>3469124779</v>
      </c>
    </row>
    <row r="493" spans="1:5" x14ac:dyDescent="0.3">
      <c r="A493">
        <v>492</v>
      </c>
      <c r="B493" t="s">
        <v>1401</v>
      </c>
      <c r="C493" t="s">
        <v>14</v>
      </c>
      <c r="D493" t="s">
        <v>1402</v>
      </c>
      <c r="E493" t="s">
        <v>1403</v>
      </c>
    </row>
    <row r="494" spans="1:5" x14ac:dyDescent="0.3">
      <c r="A494">
        <v>493</v>
      </c>
      <c r="B494" t="s">
        <v>1404</v>
      </c>
      <c r="C494" t="s">
        <v>29</v>
      </c>
      <c r="D494" t="s">
        <v>1405</v>
      </c>
      <c r="E494" t="s">
        <v>1406</v>
      </c>
    </row>
    <row r="495" spans="1:5" x14ac:dyDescent="0.3">
      <c r="A495">
        <v>494</v>
      </c>
      <c r="B495" t="s">
        <v>1407</v>
      </c>
      <c r="C495" t="s">
        <v>10</v>
      </c>
      <c r="D495" t="s">
        <v>1408</v>
      </c>
      <c r="E495" t="s">
        <v>1409</v>
      </c>
    </row>
    <row r="496" spans="1:5" x14ac:dyDescent="0.3">
      <c r="A496">
        <v>495</v>
      </c>
      <c r="B496" t="s">
        <v>1410</v>
      </c>
      <c r="C496" t="s">
        <v>10</v>
      </c>
      <c r="D496" t="s">
        <v>1411</v>
      </c>
      <c r="E496" t="s">
        <v>1412</v>
      </c>
    </row>
    <row r="497" spans="1:5" x14ac:dyDescent="0.3">
      <c r="A497">
        <v>496</v>
      </c>
      <c r="B497" t="s">
        <v>1413</v>
      </c>
      <c r="C497" t="s">
        <v>29</v>
      </c>
      <c r="D497" t="s">
        <v>1414</v>
      </c>
      <c r="E497" t="s">
        <v>1415</v>
      </c>
    </row>
    <row r="498" spans="1:5" x14ac:dyDescent="0.3">
      <c r="A498">
        <v>497</v>
      </c>
      <c r="B498" t="s">
        <v>1416</v>
      </c>
      <c r="C498" t="s">
        <v>29</v>
      </c>
      <c r="D498" t="s">
        <v>1417</v>
      </c>
      <c r="E498" t="s">
        <v>1418</v>
      </c>
    </row>
    <row r="499" spans="1:5" x14ac:dyDescent="0.3">
      <c r="A499">
        <v>498</v>
      </c>
      <c r="B499" t="s">
        <v>1419</v>
      </c>
      <c r="C499" t="s">
        <v>29</v>
      </c>
      <c r="D499" t="s">
        <v>1420</v>
      </c>
      <c r="E499" t="s">
        <v>1421</v>
      </c>
    </row>
    <row r="500" spans="1:5" x14ac:dyDescent="0.3">
      <c r="A500">
        <v>499</v>
      </c>
      <c r="B500" t="s">
        <v>1422</v>
      </c>
      <c r="C500" t="s">
        <v>10</v>
      </c>
      <c r="D500" t="s">
        <v>1423</v>
      </c>
      <c r="E500" t="s">
        <v>1424</v>
      </c>
    </row>
    <row r="501" spans="1:5" x14ac:dyDescent="0.3">
      <c r="A501">
        <v>500</v>
      </c>
      <c r="B501" t="s">
        <v>1425</v>
      </c>
      <c r="C501" t="s">
        <v>29</v>
      </c>
      <c r="D501" t="s">
        <v>1426</v>
      </c>
      <c r="E501">
        <v>1091960030</v>
      </c>
    </row>
    <row r="502" spans="1:5" x14ac:dyDescent="0.3">
      <c r="A502">
        <v>501</v>
      </c>
      <c r="B502" t="s">
        <v>1427</v>
      </c>
      <c r="C502" t="s">
        <v>10</v>
      </c>
      <c r="D502" t="s">
        <v>1428</v>
      </c>
      <c r="E502" t="s">
        <v>1429</v>
      </c>
    </row>
    <row r="503" spans="1:5" x14ac:dyDescent="0.3">
      <c r="A503">
        <v>502</v>
      </c>
      <c r="B503" t="s">
        <v>1430</v>
      </c>
      <c r="C503" t="s">
        <v>29</v>
      </c>
      <c r="D503" t="s">
        <v>1431</v>
      </c>
      <c r="E503" t="s">
        <v>1432</v>
      </c>
    </row>
    <row r="504" spans="1:5" x14ac:dyDescent="0.3">
      <c r="A504">
        <v>503</v>
      </c>
      <c r="B504" t="s">
        <v>1433</v>
      </c>
      <c r="C504" t="s">
        <v>29</v>
      </c>
      <c r="D504" t="s">
        <v>1434</v>
      </c>
      <c r="E504" t="s">
        <v>1435</v>
      </c>
    </row>
    <row r="505" spans="1:5" x14ac:dyDescent="0.3">
      <c r="A505">
        <v>504</v>
      </c>
      <c r="B505" t="s">
        <v>1436</v>
      </c>
      <c r="C505" t="s">
        <v>6</v>
      </c>
      <c r="D505" t="s">
        <v>1437</v>
      </c>
      <c r="E505" t="s">
        <v>1438</v>
      </c>
    </row>
    <row r="506" spans="1:5" x14ac:dyDescent="0.3">
      <c r="A506">
        <v>505</v>
      </c>
      <c r="B506" t="s">
        <v>1439</v>
      </c>
      <c r="C506" t="s">
        <v>14</v>
      </c>
      <c r="D506" t="s">
        <v>1440</v>
      </c>
      <c r="E506" t="s">
        <v>1441</v>
      </c>
    </row>
    <row r="507" spans="1:5" x14ac:dyDescent="0.3">
      <c r="A507">
        <v>506</v>
      </c>
      <c r="B507" t="s">
        <v>1442</v>
      </c>
      <c r="C507" t="s">
        <v>14</v>
      </c>
      <c r="D507" t="s">
        <v>1443</v>
      </c>
      <c r="E507" t="s">
        <v>1444</v>
      </c>
    </row>
    <row r="508" spans="1:5" x14ac:dyDescent="0.3">
      <c r="A508">
        <v>507</v>
      </c>
      <c r="B508" t="s">
        <v>1445</v>
      </c>
      <c r="C508" t="s">
        <v>29</v>
      </c>
      <c r="D508" t="s">
        <v>1446</v>
      </c>
      <c r="E508" t="s">
        <v>1447</v>
      </c>
    </row>
    <row r="509" spans="1:5" x14ac:dyDescent="0.3">
      <c r="A509">
        <v>508</v>
      </c>
      <c r="B509" t="s">
        <v>1448</v>
      </c>
      <c r="C509" t="s">
        <v>10</v>
      </c>
      <c r="D509" t="s">
        <v>1449</v>
      </c>
      <c r="E509">
        <v>9903662975</v>
      </c>
    </row>
    <row r="510" spans="1:5" x14ac:dyDescent="0.3">
      <c r="A510">
        <v>509</v>
      </c>
      <c r="B510" t="s">
        <v>1450</v>
      </c>
      <c r="C510" t="s">
        <v>29</v>
      </c>
      <c r="D510" t="s">
        <v>1451</v>
      </c>
      <c r="E510" t="s">
        <v>1452</v>
      </c>
    </row>
    <row r="511" spans="1:5" x14ac:dyDescent="0.3">
      <c r="A511">
        <v>510</v>
      </c>
      <c r="B511" t="s">
        <v>1453</v>
      </c>
      <c r="C511" t="s">
        <v>10</v>
      </c>
      <c r="D511" t="s">
        <v>625</v>
      </c>
      <c r="E511" t="s">
        <v>1454</v>
      </c>
    </row>
    <row r="512" spans="1:5" x14ac:dyDescent="0.3">
      <c r="A512">
        <v>511</v>
      </c>
      <c r="B512" t="s">
        <v>1455</v>
      </c>
      <c r="C512" t="s">
        <v>14</v>
      </c>
      <c r="D512" t="s">
        <v>1456</v>
      </c>
      <c r="E512" t="s">
        <v>1457</v>
      </c>
    </row>
    <row r="513" spans="1:5" x14ac:dyDescent="0.3">
      <c r="A513">
        <v>512</v>
      </c>
      <c r="B513" t="s">
        <v>1458</v>
      </c>
      <c r="C513" t="s">
        <v>6</v>
      </c>
      <c r="D513" t="s">
        <v>1459</v>
      </c>
      <c r="E513" t="s">
        <v>1460</v>
      </c>
    </row>
    <row r="514" spans="1:5" x14ac:dyDescent="0.3">
      <c r="A514">
        <v>513</v>
      </c>
      <c r="B514" t="s">
        <v>1461</v>
      </c>
      <c r="C514" t="s">
        <v>10</v>
      </c>
      <c r="D514" t="s">
        <v>1462</v>
      </c>
      <c r="E514" t="s">
        <v>1463</v>
      </c>
    </row>
    <row r="515" spans="1:5" x14ac:dyDescent="0.3">
      <c r="A515">
        <v>514</v>
      </c>
      <c r="B515" t="s">
        <v>1464</v>
      </c>
      <c r="C515" t="s">
        <v>6</v>
      </c>
      <c r="D515" t="s">
        <v>1465</v>
      </c>
      <c r="E515" t="s">
        <v>1466</v>
      </c>
    </row>
    <row r="516" spans="1:5" x14ac:dyDescent="0.3">
      <c r="A516">
        <v>515</v>
      </c>
      <c r="B516" t="s">
        <v>1467</v>
      </c>
      <c r="C516" t="s">
        <v>14</v>
      </c>
      <c r="D516" t="s">
        <v>1468</v>
      </c>
      <c r="E516" t="s">
        <v>1469</v>
      </c>
    </row>
    <row r="517" spans="1:5" x14ac:dyDescent="0.3">
      <c r="A517">
        <v>516</v>
      </c>
      <c r="B517" t="s">
        <v>1470</v>
      </c>
      <c r="C517" t="s">
        <v>6</v>
      </c>
      <c r="D517" t="s">
        <v>1471</v>
      </c>
      <c r="E517" t="s">
        <v>1472</v>
      </c>
    </row>
    <row r="518" spans="1:5" x14ac:dyDescent="0.3">
      <c r="A518">
        <v>517</v>
      </c>
      <c r="B518" t="s">
        <v>1473</v>
      </c>
      <c r="C518" t="s">
        <v>10</v>
      </c>
      <c r="D518" t="s">
        <v>1474</v>
      </c>
      <c r="E518" t="s">
        <v>1475</v>
      </c>
    </row>
    <row r="519" spans="1:5" x14ac:dyDescent="0.3">
      <c r="A519">
        <v>518</v>
      </c>
      <c r="B519" t="s">
        <v>1476</v>
      </c>
      <c r="C519" t="s">
        <v>14</v>
      </c>
      <c r="D519" t="s">
        <v>1477</v>
      </c>
      <c r="E519" t="s">
        <v>1478</v>
      </c>
    </row>
    <row r="520" spans="1:5" x14ac:dyDescent="0.3">
      <c r="A520">
        <v>519</v>
      </c>
      <c r="B520" t="s">
        <v>1479</v>
      </c>
      <c r="C520" t="s">
        <v>6</v>
      </c>
      <c r="D520" t="s">
        <v>1480</v>
      </c>
      <c r="E520" t="s">
        <v>1481</v>
      </c>
    </row>
    <row r="521" spans="1:5" x14ac:dyDescent="0.3">
      <c r="A521">
        <v>520</v>
      </c>
      <c r="B521" t="s">
        <v>1482</v>
      </c>
      <c r="C521" t="s">
        <v>14</v>
      </c>
      <c r="D521" t="s">
        <v>1483</v>
      </c>
      <c r="E521" t="s">
        <v>1484</v>
      </c>
    </row>
    <row r="522" spans="1:5" x14ac:dyDescent="0.3">
      <c r="A522">
        <v>521</v>
      </c>
      <c r="B522" t="s">
        <v>1485</v>
      </c>
      <c r="C522" t="s">
        <v>14</v>
      </c>
      <c r="D522" t="s">
        <v>1486</v>
      </c>
      <c r="E522">
        <f>1-225-576-9253</f>
        <v>-10053</v>
      </c>
    </row>
    <row r="523" spans="1:5" x14ac:dyDescent="0.3">
      <c r="A523">
        <v>522</v>
      </c>
      <c r="B523" t="s">
        <v>1487</v>
      </c>
      <c r="C523" t="s">
        <v>14</v>
      </c>
      <c r="D523" t="s">
        <v>1488</v>
      </c>
      <c r="E523" t="s">
        <v>1489</v>
      </c>
    </row>
    <row r="524" spans="1:5" x14ac:dyDescent="0.3">
      <c r="A524">
        <v>523</v>
      </c>
      <c r="B524" t="s">
        <v>1490</v>
      </c>
      <c r="C524" t="s">
        <v>14</v>
      </c>
      <c r="D524" t="s">
        <v>1491</v>
      </c>
      <c r="E524" t="s">
        <v>1492</v>
      </c>
    </row>
    <row r="525" spans="1:5" x14ac:dyDescent="0.3">
      <c r="A525">
        <v>524</v>
      </c>
      <c r="B525" t="s">
        <v>1493</v>
      </c>
      <c r="C525" t="s">
        <v>29</v>
      </c>
      <c r="D525" t="s">
        <v>1494</v>
      </c>
      <c r="E525" t="s">
        <v>1495</v>
      </c>
    </row>
    <row r="526" spans="1:5" x14ac:dyDescent="0.3">
      <c r="A526">
        <v>525</v>
      </c>
      <c r="B526" t="s">
        <v>1496</v>
      </c>
      <c r="C526" t="s">
        <v>29</v>
      </c>
      <c r="D526" t="s">
        <v>1497</v>
      </c>
      <c r="E526" t="s">
        <v>1498</v>
      </c>
    </row>
    <row r="527" spans="1:5" x14ac:dyDescent="0.3">
      <c r="A527">
        <v>526</v>
      </c>
      <c r="B527" t="s">
        <v>1499</v>
      </c>
      <c r="C527" t="s">
        <v>14</v>
      </c>
      <c r="D527" t="s">
        <v>1500</v>
      </c>
      <c r="E527" t="s">
        <v>1501</v>
      </c>
    </row>
    <row r="528" spans="1:5" x14ac:dyDescent="0.3">
      <c r="A528">
        <v>527</v>
      </c>
      <c r="B528" t="s">
        <v>1502</v>
      </c>
      <c r="C528" t="s">
        <v>14</v>
      </c>
      <c r="D528" t="s">
        <v>1503</v>
      </c>
      <c r="E528" t="s">
        <v>1504</v>
      </c>
    </row>
    <row r="529" spans="1:5" x14ac:dyDescent="0.3">
      <c r="A529">
        <v>528</v>
      </c>
      <c r="B529" t="s">
        <v>1505</v>
      </c>
      <c r="C529" t="s">
        <v>29</v>
      </c>
      <c r="D529" t="s">
        <v>1506</v>
      </c>
      <c r="E529" t="s">
        <v>1507</v>
      </c>
    </row>
    <row r="530" spans="1:5" x14ac:dyDescent="0.3">
      <c r="A530">
        <v>529</v>
      </c>
      <c r="B530" t="s">
        <v>1508</v>
      </c>
      <c r="C530" t="s">
        <v>29</v>
      </c>
      <c r="D530" t="s">
        <v>1509</v>
      </c>
      <c r="E530" t="s">
        <v>1510</v>
      </c>
    </row>
    <row r="531" spans="1:5" x14ac:dyDescent="0.3">
      <c r="A531">
        <v>530</v>
      </c>
      <c r="B531" t="s">
        <v>1511</v>
      </c>
      <c r="C531" t="s">
        <v>10</v>
      </c>
      <c r="D531" t="s">
        <v>1512</v>
      </c>
      <c r="E531" t="s">
        <v>1513</v>
      </c>
    </row>
    <row r="532" spans="1:5" x14ac:dyDescent="0.3">
      <c r="A532">
        <v>531</v>
      </c>
      <c r="B532" t="s">
        <v>1514</v>
      </c>
      <c r="C532" t="s">
        <v>29</v>
      </c>
      <c r="D532" t="s">
        <v>1515</v>
      </c>
      <c r="E532" t="s">
        <v>1516</v>
      </c>
    </row>
    <row r="533" spans="1:5" x14ac:dyDescent="0.3">
      <c r="A533">
        <v>532</v>
      </c>
      <c r="B533" t="s">
        <v>1517</v>
      </c>
      <c r="C533" t="s">
        <v>10</v>
      </c>
      <c r="D533" t="s">
        <v>1518</v>
      </c>
      <c r="E533" t="s">
        <v>1519</v>
      </c>
    </row>
    <row r="534" spans="1:5" x14ac:dyDescent="0.3">
      <c r="A534">
        <v>533</v>
      </c>
      <c r="B534" t="s">
        <v>1520</v>
      </c>
      <c r="C534" t="s">
        <v>6</v>
      </c>
      <c r="D534" t="s">
        <v>1521</v>
      </c>
      <c r="E534" t="s">
        <v>1522</v>
      </c>
    </row>
    <row r="535" spans="1:5" x14ac:dyDescent="0.3">
      <c r="A535">
        <v>534</v>
      </c>
      <c r="B535" t="s">
        <v>1523</v>
      </c>
      <c r="C535" t="s">
        <v>10</v>
      </c>
      <c r="D535" t="s">
        <v>1524</v>
      </c>
      <c r="E535" t="s">
        <v>1525</v>
      </c>
    </row>
    <row r="536" spans="1:5" x14ac:dyDescent="0.3">
      <c r="A536">
        <v>535</v>
      </c>
      <c r="B536" t="s">
        <v>1526</v>
      </c>
      <c r="C536" t="s">
        <v>6</v>
      </c>
      <c r="D536" t="s">
        <v>1527</v>
      </c>
      <c r="E536">
        <v>329872893</v>
      </c>
    </row>
    <row r="537" spans="1:5" x14ac:dyDescent="0.3">
      <c r="A537">
        <v>536</v>
      </c>
      <c r="B537" t="s">
        <v>1528</v>
      </c>
      <c r="C537" t="s">
        <v>6</v>
      </c>
      <c r="D537" t="s">
        <v>1529</v>
      </c>
      <c r="E537" t="s">
        <v>1530</v>
      </c>
    </row>
    <row r="538" spans="1:5" x14ac:dyDescent="0.3">
      <c r="A538">
        <v>537</v>
      </c>
      <c r="B538" t="s">
        <v>1531</v>
      </c>
      <c r="C538" t="s">
        <v>6</v>
      </c>
      <c r="D538" t="s">
        <v>1532</v>
      </c>
      <c r="E538">
        <v>764237778</v>
      </c>
    </row>
    <row r="539" spans="1:5" x14ac:dyDescent="0.3">
      <c r="A539">
        <v>538</v>
      </c>
      <c r="B539" t="s">
        <v>1533</v>
      </c>
      <c r="C539" t="s">
        <v>10</v>
      </c>
      <c r="D539" t="s">
        <v>1534</v>
      </c>
      <c r="E539" t="s">
        <v>1535</v>
      </c>
    </row>
    <row r="540" spans="1:5" x14ac:dyDescent="0.3">
      <c r="A540">
        <v>539</v>
      </c>
      <c r="B540" t="s">
        <v>1536</v>
      </c>
      <c r="C540" t="s">
        <v>14</v>
      </c>
      <c r="D540" t="s">
        <v>1537</v>
      </c>
      <c r="E540" t="s">
        <v>1538</v>
      </c>
    </row>
    <row r="541" spans="1:5" x14ac:dyDescent="0.3">
      <c r="A541">
        <v>540</v>
      </c>
      <c r="B541" t="s">
        <v>1539</v>
      </c>
      <c r="C541" t="s">
        <v>10</v>
      </c>
      <c r="D541" t="s">
        <v>1540</v>
      </c>
      <c r="E541" t="s">
        <v>1541</v>
      </c>
    </row>
    <row r="542" spans="1:5" x14ac:dyDescent="0.3">
      <c r="A542">
        <v>541</v>
      </c>
      <c r="B542" t="s">
        <v>1542</v>
      </c>
      <c r="C542" t="s">
        <v>14</v>
      </c>
      <c r="D542" t="s">
        <v>1543</v>
      </c>
      <c r="E542" t="s">
        <v>1544</v>
      </c>
    </row>
    <row r="543" spans="1:5" x14ac:dyDescent="0.3">
      <c r="A543">
        <v>542</v>
      </c>
      <c r="B543" t="s">
        <v>1545</v>
      </c>
      <c r="C543" t="s">
        <v>10</v>
      </c>
      <c r="D543" t="s">
        <v>1546</v>
      </c>
      <c r="E543" t="s">
        <v>1547</v>
      </c>
    </row>
    <row r="544" spans="1:5" x14ac:dyDescent="0.3">
      <c r="A544">
        <v>543</v>
      </c>
      <c r="B544" t="s">
        <v>1548</v>
      </c>
      <c r="C544" t="s">
        <v>29</v>
      </c>
      <c r="D544" t="s">
        <v>1549</v>
      </c>
      <c r="E544" t="s">
        <v>1550</v>
      </c>
    </row>
    <row r="545" spans="1:5" x14ac:dyDescent="0.3">
      <c r="A545">
        <v>544</v>
      </c>
      <c r="B545" t="s">
        <v>1551</v>
      </c>
      <c r="C545" t="s">
        <v>14</v>
      </c>
      <c r="D545" t="s">
        <v>1552</v>
      </c>
      <c r="E545" t="s">
        <v>1553</v>
      </c>
    </row>
    <row r="546" spans="1:5" x14ac:dyDescent="0.3">
      <c r="A546">
        <v>545</v>
      </c>
      <c r="B546" t="s">
        <v>1554</v>
      </c>
      <c r="C546" t="s">
        <v>10</v>
      </c>
      <c r="D546" t="s">
        <v>1555</v>
      </c>
      <c r="E546">
        <f>1-487-877-1518</f>
        <v>-2881</v>
      </c>
    </row>
    <row r="547" spans="1:5" x14ac:dyDescent="0.3">
      <c r="A547">
        <v>546</v>
      </c>
      <c r="B547" t="s">
        <v>1556</v>
      </c>
      <c r="C547" t="s">
        <v>29</v>
      </c>
      <c r="D547" t="s">
        <v>1557</v>
      </c>
      <c r="E547" t="s">
        <v>1558</v>
      </c>
    </row>
    <row r="548" spans="1:5" x14ac:dyDescent="0.3">
      <c r="A548">
        <v>547</v>
      </c>
      <c r="B548" t="s">
        <v>1559</v>
      </c>
      <c r="C548" t="s">
        <v>29</v>
      </c>
      <c r="D548" t="s">
        <v>1560</v>
      </c>
      <c r="E548" t="s">
        <v>1561</v>
      </c>
    </row>
    <row r="549" spans="1:5" x14ac:dyDescent="0.3">
      <c r="A549">
        <v>548</v>
      </c>
      <c r="B549" t="s">
        <v>1562</v>
      </c>
      <c r="C549" t="s">
        <v>14</v>
      </c>
      <c r="D549" t="s">
        <v>1563</v>
      </c>
      <c r="E549">
        <f>1-115-368-3340</f>
        <v>-3822</v>
      </c>
    </row>
    <row r="550" spans="1:5" x14ac:dyDescent="0.3">
      <c r="A550">
        <v>549</v>
      </c>
      <c r="B550" t="s">
        <v>1564</v>
      </c>
      <c r="C550" t="s">
        <v>14</v>
      </c>
      <c r="D550" t="s">
        <v>1565</v>
      </c>
      <c r="E550" t="s">
        <v>1566</v>
      </c>
    </row>
    <row r="551" spans="1:5" x14ac:dyDescent="0.3">
      <c r="A551">
        <v>550</v>
      </c>
      <c r="B551" t="s">
        <v>1567</v>
      </c>
      <c r="C551" t="s">
        <v>10</v>
      </c>
      <c r="D551" t="s">
        <v>1568</v>
      </c>
      <c r="E551" t="s">
        <v>1569</v>
      </c>
    </row>
    <row r="552" spans="1:5" x14ac:dyDescent="0.3">
      <c r="A552">
        <v>551</v>
      </c>
      <c r="B552" t="s">
        <v>1570</v>
      </c>
      <c r="C552" t="s">
        <v>6</v>
      </c>
      <c r="D552" t="s">
        <v>1571</v>
      </c>
      <c r="E552">
        <f>1-239-355-7045</f>
        <v>-7638</v>
      </c>
    </row>
    <row r="553" spans="1:5" x14ac:dyDescent="0.3">
      <c r="A553">
        <v>552</v>
      </c>
      <c r="B553" t="s">
        <v>1572</v>
      </c>
      <c r="C553" t="s">
        <v>14</v>
      </c>
      <c r="D553" t="s">
        <v>1573</v>
      </c>
      <c r="E553" t="s">
        <v>1574</v>
      </c>
    </row>
    <row r="554" spans="1:5" x14ac:dyDescent="0.3">
      <c r="A554">
        <v>553</v>
      </c>
      <c r="B554" t="s">
        <v>1575</v>
      </c>
      <c r="C554" t="s">
        <v>6</v>
      </c>
      <c r="D554" t="s">
        <v>1576</v>
      </c>
      <c r="E554" t="s">
        <v>1577</v>
      </c>
    </row>
    <row r="555" spans="1:5" x14ac:dyDescent="0.3">
      <c r="A555">
        <v>554</v>
      </c>
      <c r="B555" t="s">
        <v>1578</v>
      </c>
      <c r="C555" t="s">
        <v>29</v>
      </c>
      <c r="D555" t="s">
        <v>1579</v>
      </c>
      <c r="E555" t="s">
        <v>1580</v>
      </c>
    </row>
    <row r="556" spans="1:5" x14ac:dyDescent="0.3">
      <c r="A556">
        <v>555</v>
      </c>
      <c r="B556" t="s">
        <v>1581</v>
      </c>
      <c r="C556" t="s">
        <v>10</v>
      </c>
      <c r="D556" t="s">
        <v>861</v>
      </c>
      <c r="E556">
        <f>1-443-680-8966</f>
        <v>-10088</v>
      </c>
    </row>
    <row r="557" spans="1:5" x14ac:dyDescent="0.3">
      <c r="A557">
        <v>556</v>
      </c>
      <c r="B557" t="s">
        <v>1582</v>
      </c>
      <c r="C557" t="s">
        <v>14</v>
      </c>
      <c r="D557" t="s">
        <v>1583</v>
      </c>
      <c r="E557" t="s">
        <v>1584</v>
      </c>
    </row>
    <row r="558" spans="1:5" x14ac:dyDescent="0.3">
      <c r="A558">
        <v>557</v>
      </c>
      <c r="B558" t="s">
        <v>1585</v>
      </c>
      <c r="C558" t="s">
        <v>14</v>
      </c>
      <c r="D558" t="s">
        <v>1586</v>
      </c>
      <c r="E558" t="s">
        <v>1587</v>
      </c>
    </row>
    <row r="559" spans="1:5" x14ac:dyDescent="0.3">
      <c r="A559">
        <v>558</v>
      </c>
      <c r="B559" t="s">
        <v>1588</v>
      </c>
      <c r="C559" t="s">
        <v>29</v>
      </c>
      <c r="D559" t="s">
        <v>1589</v>
      </c>
      <c r="E559" t="s">
        <v>1590</v>
      </c>
    </row>
    <row r="560" spans="1:5" x14ac:dyDescent="0.3">
      <c r="A560">
        <v>559</v>
      </c>
      <c r="B560" t="s">
        <v>1591</v>
      </c>
      <c r="C560" t="s">
        <v>6</v>
      </c>
      <c r="D560" t="s">
        <v>1592</v>
      </c>
      <c r="E560" t="s">
        <v>1593</v>
      </c>
    </row>
    <row r="561" spans="1:5" x14ac:dyDescent="0.3">
      <c r="A561">
        <v>560</v>
      </c>
      <c r="B561" t="s">
        <v>1594</v>
      </c>
      <c r="C561" t="s">
        <v>6</v>
      </c>
      <c r="D561" t="s">
        <v>1595</v>
      </c>
      <c r="E561" t="s">
        <v>1596</v>
      </c>
    </row>
    <row r="562" spans="1:5" x14ac:dyDescent="0.3">
      <c r="A562">
        <v>561</v>
      </c>
      <c r="B562" t="s">
        <v>1597</v>
      </c>
      <c r="C562" t="s">
        <v>14</v>
      </c>
      <c r="D562" t="s">
        <v>1598</v>
      </c>
      <c r="E562" t="s">
        <v>1599</v>
      </c>
    </row>
    <row r="563" spans="1:5" x14ac:dyDescent="0.3">
      <c r="A563">
        <v>562</v>
      </c>
      <c r="B563" t="s">
        <v>1600</v>
      </c>
      <c r="C563" t="s">
        <v>14</v>
      </c>
      <c r="D563" t="s">
        <v>1601</v>
      </c>
      <c r="E563" t="s">
        <v>1602</v>
      </c>
    </row>
    <row r="564" spans="1:5" x14ac:dyDescent="0.3">
      <c r="A564">
        <v>563</v>
      </c>
      <c r="B564" t="s">
        <v>1603</v>
      </c>
      <c r="C564" t="s">
        <v>29</v>
      </c>
      <c r="D564" t="s">
        <v>1604</v>
      </c>
      <c r="E564" t="s">
        <v>1605</v>
      </c>
    </row>
    <row r="565" spans="1:5" x14ac:dyDescent="0.3">
      <c r="A565">
        <v>564</v>
      </c>
      <c r="B565" t="s">
        <v>1606</v>
      </c>
      <c r="C565" t="s">
        <v>10</v>
      </c>
      <c r="D565" t="s">
        <v>1607</v>
      </c>
      <c r="E565">
        <f>1-588-874-3231</f>
        <v>-4692</v>
      </c>
    </row>
    <row r="566" spans="1:5" x14ac:dyDescent="0.3">
      <c r="A566">
        <v>565</v>
      </c>
      <c r="B566" t="s">
        <v>1608</v>
      </c>
      <c r="C566" t="s">
        <v>29</v>
      </c>
      <c r="D566" t="s">
        <v>1609</v>
      </c>
      <c r="E566" t="s">
        <v>1610</v>
      </c>
    </row>
    <row r="567" spans="1:5" x14ac:dyDescent="0.3">
      <c r="A567">
        <v>566</v>
      </c>
      <c r="B567" t="s">
        <v>1611</v>
      </c>
      <c r="C567" t="s">
        <v>10</v>
      </c>
      <c r="D567" t="s">
        <v>1612</v>
      </c>
      <c r="E567" t="s">
        <v>1613</v>
      </c>
    </row>
    <row r="568" spans="1:5" x14ac:dyDescent="0.3">
      <c r="A568">
        <v>567</v>
      </c>
      <c r="B568" t="s">
        <v>1614</v>
      </c>
      <c r="C568" t="s">
        <v>6</v>
      </c>
      <c r="D568" t="s">
        <v>1615</v>
      </c>
      <c r="E568" t="s">
        <v>1616</v>
      </c>
    </row>
    <row r="569" spans="1:5" x14ac:dyDescent="0.3">
      <c r="A569">
        <v>568</v>
      </c>
      <c r="B569" t="s">
        <v>1617</v>
      </c>
      <c r="C569" t="s">
        <v>29</v>
      </c>
      <c r="D569" t="s">
        <v>1618</v>
      </c>
      <c r="E569" t="s">
        <v>1619</v>
      </c>
    </row>
    <row r="570" spans="1:5" x14ac:dyDescent="0.3">
      <c r="A570">
        <v>569</v>
      </c>
      <c r="B570" t="s">
        <v>1620</v>
      </c>
      <c r="C570" t="s">
        <v>6</v>
      </c>
      <c r="D570" t="s">
        <v>1621</v>
      </c>
      <c r="E570" t="s">
        <v>1622</v>
      </c>
    </row>
    <row r="571" spans="1:5" x14ac:dyDescent="0.3">
      <c r="A571">
        <v>570</v>
      </c>
      <c r="B571" t="s">
        <v>1623</v>
      </c>
      <c r="C571" t="s">
        <v>10</v>
      </c>
      <c r="D571" t="s">
        <v>1624</v>
      </c>
      <c r="E571" t="s">
        <v>1625</v>
      </c>
    </row>
    <row r="572" spans="1:5" x14ac:dyDescent="0.3">
      <c r="A572">
        <v>571</v>
      </c>
      <c r="B572" t="s">
        <v>1626</v>
      </c>
      <c r="C572" t="s">
        <v>6</v>
      </c>
      <c r="D572" t="s">
        <v>1627</v>
      </c>
      <c r="E572" t="s">
        <v>1628</v>
      </c>
    </row>
    <row r="573" spans="1:5" x14ac:dyDescent="0.3">
      <c r="A573">
        <v>572</v>
      </c>
      <c r="B573" t="s">
        <v>1629</v>
      </c>
      <c r="C573" t="s">
        <v>6</v>
      </c>
      <c r="D573" t="s">
        <v>1630</v>
      </c>
      <c r="E573" t="s">
        <v>1631</v>
      </c>
    </row>
    <row r="574" spans="1:5" x14ac:dyDescent="0.3">
      <c r="A574">
        <v>573</v>
      </c>
      <c r="B574" t="s">
        <v>1632</v>
      </c>
      <c r="C574" t="s">
        <v>6</v>
      </c>
      <c r="D574" t="s">
        <v>1633</v>
      </c>
      <c r="E574">
        <v>4689527647</v>
      </c>
    </row>
    <row r="575" spans="1:5" x14ac:dyDescent="0.3">
      <c r="A575">
        <v>574</v>
      </c>
      <c r="B575" t="s">
        <v>1634</v>
      </c>
      <c r="C575" t="s">
        <v>6</v>
      </c>
      <c r="D575" t="s">
        <v>1635</v>
      </c>
      <c r="E575" t="s">
        <v>1636</v>
      </c>
    </row>
    <row r="576" spans="1:5" x14ac:dyDescent="0.3">
      <c r="A576">
        <v>575</v>
      </c>
      <c r="B576" t="s">
        <v>1637</v>
      </c>
      <c r="C576" t="s">
        <v>6</v>
      </c>
      <c r="D576" t="s">
        <v>1638</v>
      </c>
      <c r="E576" t="s">
        <v>1639</v>
      </c>
    </row>
    <row r="577" spans="1:5" x14ac:dyDescent="0.3">
      <c r="A577">
        <v>576</v>
      </c>
      <c r="B577" t="s">
        <v>1640</v>
      </c>
      <c r="C577" t="s">
        <v>10</v>
      </c>
      <c r="D577" t="s">
        <v>1641</v>
      </c>
      <c r="E577" t="s">
        <v>1642</v>
      </c>
    </row>
    <row r="578" spans="1:5" x14ac:dyDescent="0.3">
      <c r="A578">
        <v>577</v>
      </c>
      <c r="B578" t="s">
        <v>1643</v>
      </c>
      <c r="C578" t="s">
        <v>29</v>
      </c>
      <c r="D578" t="s">
        <v>370</v>
      </c>
      <c r="E578">
        <v>3908825868</v>
      </c>
    </row>
    <row r="579" spans="1:5" x14ac:dyDescent="0.3">
      <c r="A579">
        <v>578</v>
      </c>
      <c r="B579" t="s">
        <v>1644</v>
      </c>
      <c r="C579" t="s">
        <v>14</v>
      </c>
      <c r="D579" t="s">
        <v>1645</v>
      </c>
      <c r="E579" t="s">
        <v>1646</v>
      </c>
    </row>
    <row r="580" spans="1:5" x14ac:dyDescent="0.3">
      <c r="A580">
        <v>579</v>
      </c>
      <c r="B580" t="s">
        <v>1647</v>
      </c>
      <c r="C580" t="s">
        <v>10</v>
      </c>
      <c r="D580" t="s">
        <v>1648</v>
      </c>
      <c r="E580" t="s">
        <v>1649</v>
      </c>
    </row>
    <row r="581" spans="1:5" x14ac:dyDescent="0.3">
      <c r="A581">
        <v>580</v>
      </c>
      <c r="B581" t="s">
        <v>1650</v>
      </c>
      <c r="C581" t="s">
        <v>29</v>
      </c>
      <c r="D581" t="s">
        <v>1651</v>
      </c>
      <c r="E581">
        <v>7765870514</v>
      </c>
    </row>
    <row r="582" spans="1:5" x14ac:dyDescent="0.3">
      <c r="A582">
        <v>581</v>
      </c>
      <c r="B582" t="s">
        <v>1652</v>
      </c>
      <c r="C582" t="s">
        <v>29</v>
      </c>
      <c r="D582" t="s">
        <v>1653</v>
      </c>
      <c r="E582" t="s">
        <v>1654</v>
      </c>
    </row>
    <row r="583" spans="1:5" x14ac:dyDescent="0.3">
      <c r="A583">
        <v>582</v>
      </c>
      <c r="B583" t="s">
        <v>1655</v>
      </c>
      <c r="C583" t="s">
        <v>6</v>
      </c>
      <c r="D583" t="s">
        <v>1656</v>
      </c>
      <c r="E583" t="s">
        <v>1657</v>
      </c>
    </row>
    <row r="584" spans="1:5" x14ac:dyDescent="0.3">
      <c r="A584">
        <v>583</v>
      </c>
      <c r="B584" t="s">
        <v>1658</v>
      </c>
      <c r="C584" t="s">
        <v>14</v>
      </c>
      <c r="D584" t="s">
        <v>1659</v>
      </c>
      <c r="E584" t="s">
        <v>1660</v>
      </c>
    </row>
    <row r="585" spans="1:5" x14ac:dyDescent="0.3">
      <c r="A585">
        <v>584</v>
      </c>
      <c r="B585" t="s">
        <v>1661</v>
      </c>
      <c r="C585" t="s">
        <v>6</v>
      </c>
      <c r="D585" t="s">
        <v>1662</v>
      </c>
      <c r="E585" t="s">
        <v>1663</v>
      </c>
    </row>
    <row r="586" spans="1:5" x14ac:dyDescent="0.3">
      <c r="A586">
        <v>585</v>
      </c>
      <c r="B586" t="s">
        <v>1664</v>
      </c>
      <c r="C586" t="s">
        <v>14</v>
      </c>
      <c r="D586" t="s">
        <v>1665</v>
      </c>
      <c r="E586" t="s">
        <v>1666</v>
      </c>
    </row>
    <row r="587" spans="1:5" x14ac:dyDescent="0.3">
      <c r="A587">
        <v>586</v>
      </c>
      <c r="B587" t="s">
        <v>1667</v>
      </c>
      <c r="C587" t="s">
        <v>6</v>
      </c>
      <c r="D587" t="s">
        <v>1668</v>
      </c>
      <c r="E587" t="s">
        <v>1669</v>
      </c>
    </row>
    <row r="588" spans="1:5" x14ac:dyDescent="0.3">
      <c r="A588">
        <v>587</v>
      </c>
      <c r="B588" t="s">
        <v>1670</v>
      </c>
      <c r="C588" t="s">
        <v>14</v>
      </c>
      <c r="D588" t="s">
        <v>96</v>
      </c>
      <c r="E588" t="s">
        <v>1671</v>
      </c>
    </row>
    <row r="589" spans="1:5" x14ac:dyDescent="0.3">
      <c r="A589">
        <v>588</v>
      </c>
      <c r="B589" t="s">
        <v>1672</v>
      </c>
      <c r="C589" t="s">
        <v>6</v>
      </c>
      <c r="D589" t="s">
        <v>1673</v>
      </c>
      <c r="E589" t="s">
        <v>1674</v>
      </c>
    </row>
    <row r="590" spans="1:5" x14ac:dyDescent="0.3">
      <c r="A590">
        <v>589</v>
      </c>
      <c r="B590" t="s">
        <v>577</v>
      </c>
      <c r="C590" t="s">
        <v>14</v>
      </c>
      <c r="D590" t="s">
        <v>1391</v>
      </c>
      <c r="E590" t="s">
        <v>1675</v>
      </c>
    </row>
    <row r="591" spans="1:5" x14ac:dyDescent="0.3">
      <c r="A591">
        <v>590</v>
      </c>
      <c r="B591" t="s">
        <v>1676</v>
      </c>
      <c r="C591" t="s">
        <v>6</v>
      </c>
      <c r="D591" t="s">
        <v>1677</v>
      </c>
      <c r="E591" t="s">
        <v>1678</v>
      </c>
    </row>
    <row r="592" spans="1:5" x14ac:dyDescent="0.3">
      <c r="A592">
        <v>591</v>
      </c>
      <c r="B592" t="s">
        <v>1679</v>
      </c>
      <c r="C592" t="s">
        <v>14</v>
      </c>
      <c r="D592" t="s">
        <v>1680</v>
      </c>
      <c r="E592" t="s">
        <v>1681</v>
      </c>
    </row>
    <row r="593" spans="1:5" x14ac:dyDescent="0.3">
      <c r="A593">
        <v>592</v>
      </c>
      <c r="B593" t="s">
        <v>1682</v>
      </c>
      <c r="C593" t="s">
        <v>29</v>
      </c>
      <c r="D593" t="s">
        <v>1683</v>
      </c>
      <c r="E593" t="s">
        <v>1684</v>
      </c>
    </row>
    <row r="594" spans="1:5" x14ac:dyDescent="0.3">
      <c r="A594">
        <v>593</v>
      </c>
      <c r="B594" t="s">
        <v>1685</v>
      </c>
      <c r="C594" t="s">
        <v>14</v>
      </c>
      <c r="D594" t="s">
        <v>1686</v>
      </c>
      <c r="E594">
        <v>3180399487</v>
      </c>
    </row>
    <row r="595" spans="1:5" x14ac:dyDescent="0.3">
      <c r="A595">
        <v>594</v>
      </c>
      <c r="B595" t="s">
        <v>1687</v>
      </c>
      <c r="C595" t="s">
        <v>6</v>
      </c>
      <c r="D595" t="s">
        <v>1688</v>
      </c>
      <c r="E595" t="s">
        <v>1689</v>
      </c>
    </row>
    <row r="596" spans="1:5" x14ac:dyDescent="0.3">
      <c r="A596">
        <v>595</v>
      </c>
      <c r="B596" t="s">
        <v>1690</v>
      </c>
      <c r="C596" t="s">
        <v>10</v>
      </c>
      <c r="D596" t="s">
        <v>1691</v>
      </c>
      <c r="E596" t="s">
        <v>1692</v>
      </c>
    </row>
    <row r="597" spans="1:5" x14ac:dyDescent="0.3">
      <c r="A597">
        <v>596</v>
      </c>
      <c r="B597" t="s">
        <v>1693</v>
      </c>
      <c r="C597" t="s">
        <v>6</v>
      </c>
      <c r="D597" t="s">
        <v>1694</v>
      </c>
      <c r="E597" t="s">
        <v>1695</v>
      </c>
    </row>
    <row r="598" spans="1:5" x14ac:dyDescent="0.3">
      <c r="A598">
        <v>597</v>
      </c>
      <c r="B598" t="s">
        <v>1696</v>
      </c>
      <c r="C598" t="s">
        <v>29</v>
      </c>
      <c r="D598" t="s">
        <v>1697</v>
      </c>
      <c r="E598" t="s">
        <v>1698</v>
      </c>
    </row>
    <row r="599" spans="1:5" x14ac:dyDescent="0.3">
      <c r="A599">
        <v>598</v>
      </c>
      <c r="B599" t="s">
        <v>1699</v>
      </c>
      <c r="C599" t="s">
        <v>14</v>
      </c>
      <c r="D599" t="s">
        <v>1700</v>
      </c>
      <c r="E599">
        <v>7691923865</v>
      </c>
    </row>
    <row r="600" spans="1:5" x14ac:dyDescent="0.3">
      <c r="A600">
        <v>599</v>
      </c>
      <c r="B600" t="s">
        <v>1701</v>
      </c>
      <c r="C600" t="s">
        <v>14</v>
      </c>
      <c r="D600" t="s">
        <v>1702</v>
      </c>
      <c r="E600" t="s">
        <v>1703</v>
      </c>
    </row>
    <row r="601" spans="1:5" x14ac:dyDescent="0.3">
      <c r="A601">
        <v>600</v>
      </c>
      <c r="B601" t="s">
        <v>1704</v>
      </c>
      <c r="C601" t="s">
        <v>10</v>
      </c>
      <c r="D601" t="s">
        <v>1705</v>
      </c>
      <c r="E601" t="s">
        <v>1706</v>
      </c>
    </row>
    <row r="602" spans="1:5" x14ac:dyDescent="0.3">
      <c r="A602">
        <v>601</v>
      </c>
      <c r="B602" t="s">
        <v>1707</v>
      </c>
      <c r="C602" t="s">
        <v>6</v>
      </c>
      <c r="D602" t="s">
        <v>1708</v>
      </c>
      <c r="E602" t="s">
        <v>1709</v>
      </c>
    </row>
    <row r="603" spans="1:5" x14ac:dyDescent="0.3">
      <c r="A603">
        <v>602</v>
      </c>
      <c r="B603" t="s">
        <v>1710</v>
      </c>
      <c r="C603" t="s">
        <v>10</v>
      </c>
      <c r="D603" t="s">
        <v>1711</v>
      </c>
      <c r="E603" t="s">
        <v>1712</v>
      </c>
    </row>
    <row r="604" spans="1:5" x14ac:dyDescent="0.3">
      <c r="A604">
        <v>603</v>
      </c>
      <c r="B604" t="s">
        <v>1713</v>
      </c>
      <c r="C604" t="s">
        <v>6</v>
      </c>
      <c r="D604" t="s">
        <v>1714</v>
      </c>
      <c r="E604" t="s">
        <v>1715</v>
      </c>
    </row>
    <row r="605" spans="1:5" x14ac:dyDescent="0.3">
      <c r="A605">
        <v>604</v>
      </c>
      <c r="B605" t="s">
        <v>1716</v>
      </c>
      <c r="C605" t="s">
        <v>10</v>
      </c>
      <c r="D605" t="s">
        <v>1717</v>
      </c>
      <c r="E605">
        <f>1-547-344-3774</f>
        <v>-4664</v>
      </c>
    </row>
    <row r="606" spans="1:5" x14ac:dyDescent="0.3">
      <c r="A606">
        <v>605</v>
      </c>
      <c r="B606" t="s">
        <v>1718</v>
      </c>
      <c r="C606" t="s">
        <v>14</v>
      </c>
      <c r="D606" t="s">
        <v>1719</v>
      </c>
      <c r="E606">
        <v>9017973598</v>
      </c>
    </row>
    <row r="607" spans="1:5" x14ac:dyDescent="0.3">
      <c r="A607">
        <v>606</v>
      </c>
      <c r="B607" t="s">
        <v>1720</v>
      </c>
      <c r="C607" t="s">
        <v>6</v>
      </c>
      <c r="D607" t="s">
        <v>1721</v>
      </c>
      <c r="E607" t="s">
        <v>1722</v>
      </c>
    </row>
    <row r="608" spans="1:5" x14ac:dyDescent="0.3">
      <c r="A608">
        <v>607</v>
      </c>
      <c r="B608" t="s">
        <v>1723</v>
      </c>
      <c r="C608" t="s">
        <v>14</v>
      </c>
      <c r="D608" t="s">
        <v>1724</v>
      </c>
      <c r="E608" t="s">
        <v>1725</v>
      </c>
    </row>
    <row r="609" spans="1:5" x14ac:dyDescent="0.3">
      <c r="A609">
        <v>608</v>
      </c>
      <c r="B609" t="s">
        <v>1726</v>
      </c>
      <c r="C609" t="s">
        <v>29</v>
      </c>
      <c r="D609" t="s">
        <v>1727</v>
      </c>
      <c r="E609" t="s">
        <v>1728</v>
      </c>
    </row>
    <row r="610" spans="1:5" x14ac:dyDescent="0.3">
      <c r="A610">
        <v>609</v>
      </c>
      <c r="B610" t="s">
        <v>1729</v>
      </c>
      <c r="C610" t="s">
        <v>6</v>
      </c>
      <c r="D610" t="s">
        <v>1001</v>
      </c>
      <c r="E610">
        <v>1493189525</v>
      </c>
    </row>
    <row r="611" spans="1:5" x14ac:dyDescent="0.3">
      <c r="A611">
        <v>610</v>
      </c>
      <c r="B611" t="s">
        <v>1730</v>
      </c>
      <c r="C611" t="s">
        <v>29</v>
      </c>
      <c r="D611" t="s">
        <v>1731</v>
      </c>
      <c r="E611" t="s">
        <v>1732</v>
      </c>
    </row>
    <row r="612" spans="1:5" x14ac:dyDescent="0.3">
      <c r="A612">
        <v>611</v>
      </c>
      <c r="B612" t="s">
        <v>1733</v>
      </c>
      <c r="C612" t="s">
        <v>29</v>
      </c>
      <c r="D612" t="s">
        <v>1734</v>
      </c>
      <c r="E612" t="s">
        <v>1735</v>
      </c>
    </row>
    <row r="613" spans="1:5" x14ac:dyDescent="0.3">
      <c r="A613">
        <v>612</v>
      </c>
      <c r="B613" t="s">
        <v>1736</v>
      </c>
      <c r="C613" t="s">
        <v>14</v>
      </c>
      <c r="D613" t="s">
        <v>1737</v>
      </c>
      <c r="E613" t="s">
        <v>1738</v>
      </c>
    </row>
    <row r="614" spans="1:5" x14ac:dyDescent="0.3">
      <c r="A614">
        <v>613</v>
      </c>
      <c r="B614" t="s">
        <v>1739</v>
      </c>
      <c r="C614" t="s">
        <v>6</v>
      </c>
      <c r="D614" t="s">
        <v>1740</v>
      </c>
      <c r="E614" t="s">
        <v>1741</v>
      </c>
    </row>
    <row r="615" spans="1:5" x14ac:dyDescent="0.3">
      <c r="A615">
        <v>614</v>
      </c>
      <c r="B615" t="s">
        <v>1742</v>
      </c>
      <c r="C615" t="s">
        <v>6</v>
      </c>
      <c r="D615" t="s">
        <v>1743</v>
      </c>
      <c r="E615" t="s">
        <v>1744</v>
      </c>
    </row>
    <row r="616" spans="1:5" x14ac:dyDescent="0.3">
      <c r="A616">
        <v>615</v>
      </c>
      <c r="B616" t="s">
        <v>1745</v>
      </c>
      <c r="C616" t="s">
        <v>14</v>
      </c>
      <c r="D616" t="s">
        <v>1746</v>
      </c>
      <c r="E616" t="s">
        <v>1747</v>
      </c>
    </row>
    <row r="617" spans="1:5" x14ac:dyDescent="0.3">
      <c r="A617">
        <v>616</v>
      </c>
      <c r="B617" t="s">
        <v>1748</v>
      </c>
      <c r="C617" t="s">
        <v>6</v>
      </c>
      <c r="D617" t="s">
        <v>1749</v>
      </c>
      <c r="E617" t="s">
        <v>1750</v>
      </c>
    </row>
    <row r="618" spans="1:5" x14ac:dyDescent="0.3">
      <c r="A618">
        <v>617</v>
      </c>
      <c r="B618" t="s">
        <v>1751</v>
      </c>
      <c r="C618" t="s">
        <v>10</v>
      </c>
      <c r="D618" t="s">
        <v>1752</v>
      </c>
      <c r="E618" t="s">
        <v>1753</v>
      </c>
    </row>
    <row r="619" spans="1:5" x14ac:dyDescent="0.3">
      <c r="A619">
        <v>618</v>
      </c>
      <c r="B619" t="s">
        <v>1754</v>
      </c>
      <c r="C619" t="s">
        <v>10</v>
      </c>
      <c r="D619" t="s">
        <v>1755</v>
      </c>
      <c r="E619" t="s">
        <v>1756</v>
      </c>
    </row>
    <row r="620" spans="1:5" x14ac:dyDescent="0.3">
      <c r="A620">
        <v>619</v>
      </c>
      <c r="B620" t="s">
        <v>1757</v>
      </c>
      <c r="C620" t="s">
        <v>14</v>
      </c>
      <c r="D620" t="s">
        <v>1758</v>
      </c>
      <c r="E620" t="s">
        <v>1759</v>
      </c>
    </row>
    <row r="621" spans="1:5" x14ac:dyDescent="0.3">
      <c r="A621">
        <v>620</v>
      </c>
      <c r="B621" t="s">
        <v>1760</v>
      </c>
      <c r="C621" t="s">
        <v>10</v>
      </c>
      <c r="D621" t="s">
        <v>1761</v>
      </c>
      <c r="E621" t="s">
        <v>1762</v>
      </c>
    </row>
    <row r="622" spans="1:5" x14ac:dyDescent="0.3">
      <c r="A622">
        <v>621</v>
      </c>
      <c r="B622" t="s">
        <v>1763</v>
      </c>
      <c r="C622" t="s">
        <v>10</v>
      </c>
      <c r="D622" t="s">
        <v>1764</v>
      </c>
      <c r="E622" t="s">
        <v>1765</v>
      </c>
    </row>
    <row r="623" spans="1:5" x14ac:dyDescent="0.3">
      <c r="A623">
        <v>622</v>
      </c>
      <c r="B623" t="s">
        <v>1766</v>
      </c>
      <c r="C623" t="s">
        <v>29</v>
      </c>
      <c r="D623" t="s">
        <v>1767</v>
      </c>
      <c r="E623" t="s">
        <v>1768</v>
      </c>
    </row>
    <row r="624" spans="1:5" x14ac:dyDescent="0.3">
      <c r="A624">
        <v>623</v>
      </c>
      <c r="B624" t="s">
        <v>1769</v>
      </c>
      <c r="C624" t="s">
        <v>10</v>
      </c>
      <c r="D624" t="s">
        <v>1770</v>
      </c>
      <c r="E624" t="s">
        <v>1771</v>
      </c>
    </row>
    <row r="625" spans="1:5" x14ac:dyDescent="0.3">
      <c r="A625">
        <v>624</v>
      </c>
      <c r="B625" t="s">
        <v>1772</v>
      </c>
      <c r="C625" t="s">
        <v>14</v>
      </c>
      <c r="D625" t="s">
        <v>1773</v>
      </c>
      <c r="E625" t="s">
        <v>1774</v>
      </c>
    </row>
    <row r="626" spans="1:5" x14ac:dyDescent="0.3">
      <c r="A626">
        <v>625</v>
      </c>
      <c r="B626" t="s">
        <v>1775</v>
      </c>
      <c r="C626" t="s">
        <v>14</v>
      </c>
      <c r="D626" t="s">
        <v>1776</v>
      </c>
      <c r="E626" t="s">
        <v>1777</v>
      </c>
    </row>
    <row r="627" spans="1:5" x14ac:dyDescent="0.3">
      <c r="A627">
        <v>626</v>
      </c>
      <c r="B627" t="s">
        <v>1778</v>
      </c>
      <c r="C627" t="s">
        <v>29</v>
      </c>
      <c r="D627" t="s">
        <v>1779</v>
      </c>
      <c r="E627" t="s">
        <v>1780</v>
      </c>
    </row>
    <row r="628" spans="1:5" x14ac:dyDescent="0.3">
      <c r="A628">
        <v>627</v>
      </c>
      <c r="B628" t="s">
        <v>1781</v>
      </c>
      <c r="C628" t="s">
        <v>6</v>
      </c>
      <c r="D628" t="s">
        <v>1782</v>
      </c>
      <c r="E628" t="s">
        <v>1783</v>
      </c>
    </row>
    <row r="629" spans="1:5" x14ac:dyDescent="0.3">
      <c r="A629">
        <v>628</v>
      </c>
      <c r="B629" t="s">
        <v>1784</v>
      </c>
      <c r="C629" t="s">
        <v>14</v>
      </c>
      <c r="D629" t="s">
        <v>1785</v>
      </c>
      <c r="E629" t="s">
        <v>1786</v>
      </c>
    </row>
    <row r="630" spans="1:5" x14ac:dyDescent="0.3">
      <c r="A630">
        <v>629</v>
      </c>
      <c r="B630" t="s">
        <v>1787</v>
      </c>
      <c r="C630" t="s">
        <v>14</v>
      </c>
      <c r="D630" t="s">
        <v>178</v>
      </c>
      <c r="E630" t="s">
        <v>1788</v>
      </c>
    </row>
    <row r="631" spans="1:5" x14ac:dyDescent="0.3">
      <c r="A631">
        <v>630</v>
      </c>
      <c r="B631" t="s">
        <v>1789</v>
      </c>
      <c r="C631" t="s">
        <v>29</v>
      </c>
      <c r="D631" t="s">
        <v>1790</v>
      </c>
      <c r="E631">
        <v>9182551669</v>
      </c>
    </row>
    <row r="632" spans="1:5" x14ac:dyDescent="0.3">
      <c r="A632">
        <v>631</v>
      </c>
      <c r="B632" t="s">
        <v>1791</v>
      </c>
      <c r="C632" t="s">
        <v>6</v>
      </c>
      <c r="D632" t="s">
        <v>1792</v>
      </c>
      <c r="E632" t="s">
        <v>1793</v>
      </c>
    </row>
    <row r="633" spans="1:5" x14ac:dyDescent="0.3">
      <c r="A633">
        <v>632</v>
      </c>
      <c r="B633" t="s">
        <v>1794</v>
      </c>
      <c r="C633" t="s">
        <v>14</v>
      </c>
      <c r="D633" t="s">
        <v>1795</v>
      </c>
      <c r="E633" t="s">
        <v>1796</v>
      </c>
    </row>
    <row r="634" spans="1:5" x14ac:dyDescent="0.3">
      <c r="A634">
        <v>633</v>
      </c>
      <c r="B634" t="s">
        <v>1797</v>
      </c>
      <c r="C634" t="s">
        <v>14</v>
      </c>
      <c r="D634" t="s">
        <v>1798</v>
      </c>
      <c r="E634" t="s">
        <v>1799</v>
      </c>
    </row>
    <row r="635" spans="1:5" x14ac:dyDescent="0.3">
      <c r="A635">
        <v>634</v>
      </c>
      <c r="B635" t="s">
        <v>1800</v>
      </c>
      <c r="C635" t="s">
        <v>29</v>
      </c>
      <c r="D635" t="s">
        <v>1801</v>
      </c>
      <c r="E635" t="s">
        <v>1802</v>
      </c>
    </row>
    <row r="636" spans="1:5" x14ac:dyDescent="0.3">
      <c r="A636">
        <v>635</v>
      </c>
      <c r="B636" t="s">
        <v>1803</v>
      </c>
      <c r="C636" t="s">
        <v>29</v>
      </c>
      <c r="D636" t="s">
        <v>1804</v>
      </c>
      <c r="E636" t="s">
        <v>1805</v>
      </c>
    </row>
    <row r="637" spans="1:5" x14ac:dyDescent="0.3">
      <c r="A637">
        <v>636</v>
      </c>
      <c r="B637" t="s">
        <v>1806</v>
      </c>
      <c r="C637" t="s">
        <v>29</v>
      </c>
      <c r="D637" t="s">
        <v>1807</v>
      </c>
      <c r="E637" t="s">
        <v>1808</v>
      </c>
    </row>
    <row r="638" spans="1:5" x14ac:dyDescent="0.3">
      <c r="A638">
        <v>637</v>
      </c>
      <c r="B638" t="s">
        <v>1809</v>
      </c>
      <c r="C638" t="s">
        <v>14</v>
      </c>
      <c r="D638" t="s">
        <v>1810</v>
      </c>
      <c r="E638">
        <v>8693958395</v>
      </c>
    </row>
    <row r="639" spans="1:5" x14ac:dyDescent="0.3">
      <c r="A639">
        <v>638</v>
      </c>
      <c r="B639" t="s">
        <v>1811</v>
      </c>
      <c r="C639" t="s">
        <v>29</v>
      </c>
      <c r="D639" t="s">
        <v>1812</v>
      </c>
      <c r="E639" t="s">
        <v>1813</v>
      </c>
    </row>
    <row r="640" spans="1:5" x14ac:dyDescent="0.3">
      <c r="A640">
        <v>639</v>
      </c>
      <c r="B640" t="s">
        <v>1814</v>
      </c>
      <c r="C640" t="s">
        <v>29</v>
      </c>
      <c r="D640" t="s">
        <v>1815</v>
      </c>
      <c r="E640" t="s">
        <v>1816</v>
      </c>
    </row>
    <row r="641" spans="1:5" x14ac:dyDescent="0.3">
      <c r="A641">
        <v>640</v>
      </c>
      <c r="B641" t="s">
        <v>1817</v>
      </c>
      <c r="C641" t="s">
        <v>14</v>
      </c>
      <c r="D641" t="s">
        <v>1818</v>
      </c>
      <c r="E641" t="s">
        <v>1819</v>
      </c>
    </row>
    <row r="642" spans="1:5" x14ac:dyDescent="0.3">
      <c r="A642">
        <v>641</v>
      </c>
      <c r="B642" t="s">
        <v>1820</v>
      </c>
      <c r="C642" t="s">
        <v>6</v>
      </c>
      <c r="D642" t="s">
        <v>1821</v>
      </c>
      <c r="E642" t="s">
        <v>1822</v>
      </c>
    </row>
    <row r="643" spans="1:5" x14ac:dyDescent="0.3">
      <c r="A643">
        <v>642</v>
      </c>
      <c r="B643" t="s">
        <v>1823</v>
      </c>
      <c r="C643" t="s">
        <v>14</v>
      </c>
      <c r="D643" t="s">
        <v>1824</v>
      </c>
      <c r="E643" t="s">
        <v>1825</v>
      </c>
    </row>
    <row r="644" spans="1:5" x14ac:dyDescent="0.3">
      <c r="A644">
        <v>643</v>
      </c>
      <c r="B644" t="s">
        <v>1826</v>
      </c>
      <c r="C644" t="s">
        <v>14</v>
      </c>
      <c r="D644" t="s">
        <v>1827</v>
      </c>
      <c r="E644" t="s">
        <v>1828</v>
      </c>
    </row>
    <row r="645" spans="1:5" x14ac:dyDescent="0.3">
      <c r="A645">
        <v>644</v>
      </c>
      <c r="B645" t="s">
        <v>1829</v>
      </c>
      <c r="C645" t="s">
        <v>10</v>
      </c>
      <c r="D645" t="s">
        <v>1830</v>
      </c>
      <c r="E645" t="s">
        <v>1831</v>
      </c>
    </row>
    <row r="646" spans="1:5" x14ac:dyDescent="0.3">
      <c r="A646">
        <v>645</v>
      </c>
      <c r="B646" t="s">
        <v>1832</v>
      </c>
      <c r="C646" t="s">
        <v>14</v>
      </c>
      <c r="D646" t="s">
        <v>1833</v>
      </c>
      <c r="E646">
        <v>2161559564</v>
      </c>
    </row>
    <row r="647" spans="1:5" x14ac:dyDescent="0.3">
      <c r="A647">
        <v>646</v>
      </c>
      <c r="B647" t="s">
        <v>1834</v>
      </c>
      <c r="C647" t="s">
        <v>10</v>
      </c>
      <c r="D647" t="s">
        <v>1835</v>
      </c>
      <c r="E647" t="s">
        <v>1836</v>
      </c>
    </row>
    <row r="648" spans="1:5" x14ac:dyDescent="0.3">
      <c r="A648">
        <v>647</v>
      </c>
      <c r="B648" t="s">
        <v>1837</v>
      </c>
      <c r="C648" t="s">
        <v>29</v>
      </c>
      <c r="D648" t="s">
        <v>1838</v>
      </c>
      <c r="E648" t="s">
        <v>1839</v>
      </c>
    </row>
    <row r="649" spans="1:5" x14ac:dyDescent="0.3">
      <c r="A649">
        <v>648</v>
      </c>
      <c r="B649" t="s">
        <v>1840</v>
      </c>
      <c r="C649" t="s">
        <v>14</v>
      </c>
      <c r="D649" t="s">
        <v>1841</v>
      </c>
      <c r="E649" t="s">
        <v>1842</v>
      </c>
    </row>
    <row r="650" spans="1:5" x14ac:dyDescent="0.3">
      <c r="A650">
        <v>649</v>
      </c>
      <c r="B650" t="s">
        <v>1843</v>
      </c>
      <c r="C650" t="s">
        <v>10</v>
      </c>
      <c r="D650" t="s">
        <v>1844</v>
      </c>
      <c r="E650" t="s">
        <v>1845</v>
      </c>
    </row>
    <row r="651" spans="1:5" x14ac:dyDescent="0.3">
      <c r="A651">
        <v>650</v>
      </c>
      <c r="B651" t="s">
        <v>1846</v>
      </c>
      <c r="C651" t="s">
        <v>14</v>
      </c>
      <c r="D651" t="s">
        <v>1847</v>
      </c>
      <c r="E651" t="s">
        <v>1848</v>
      </c>
    </row>
    <row r="652" spans="1:5" x14ac:dyDescent="0.3">
      <c r="A652">
        <v>651</v>
      </c>
      <c r="B652" t="s">
        <v>1849</v>
      </c>
      <c r="C652" t="s">
        <v>29</v>
      </c>
      <c r="D652" t="s">
        <v>1850</v>
      </c>
      <c r="E652" t="s">
        <v>1851</v>
      </c>
    </row>
    <row r="653" spans="1:5" x14ac:dyDescent="0.3">
      <c r="A653">
        <v>652</v>
      </c>
      <c r="B653" t="s">
        <v>1852</v>
      </c>
      <c r="C653" t="s">
        <v>6</v>
      </c>
      <c r="D653" t="s">
        <v>1853</v>
      </c>
      <c r="E653" t="s">
        <v>1854</v>
      </c>
    </row>
    <row r="654" spans="1:5" x14ac:dyDescent="0.3">
      <c r="A654">
        <v>653</v>
      </c>
      <c r="B654" t="s">
        <v>1855</v>
      </c>
      <c r="C654" t="s">
        <v>6</v>
      </c>
      <c r="D654" t="s">
        <v>1856</v>
      </c>
      <c r="E654" t="s">
        <v>1857</v>
      </c>
    </row>
    <row r="655" spans="1:5" x14ac:dyDescent="0.3">
      <c r="A655">
        <v>654</v>
      </c>
      <c r="B655" t="s">
        <v>1858</v>
      </c>
      <c r="C655" t="s">
        <v>6</v>
      </c>
      <c r="D655" t="s">
        <v>1859</v>
      </c>
      <c r="E655" t="s">
        <v>1860</v>
      </c>
    </row>
    <row r="656" spans="1:5" x14ac:dyDescent="0.3">
      <c r="A656">
        <v>655</v>
      </c>
      <c r="B656" t="s">
        <v>1861</v>
      </c>
      <c r="C656" t="s">
        <v>14</v>
      </c>
      <c r="D656" t="s">
        <v>1862</v>
      </c>
      <c r="E656" t="s">
        <v>1863</v>
      </c>
    </row>
    <row r="657" spans="1:5" x14ac:dyDescent="0.3">
      <c r="A657">
        <v>656</v>
      </c>
      <c r="B657" t="s">
        <v>1864</v>
      </c>
      <c r="C657" t="s">
        <v>14</v>
      </c>
      <c r="D657" t="s">
        <v>1865</v>
      </c>
      <c r="E657">
        <f>1-20-961-4423</f>
        <v>-5403</v>
      </c>
    </row>
    <row r="658" spans="1:5" x14ac:dyDescent="0.3">
      <c r="A658">
        <v>657</v>
      </c>
      <c r="B658" t="s">
        <v>1866</v>
      </c>
      <c r="C658" t="s">
        <v>10</v>
      </c>
      <c r="D658" t="s">
        <v>1867</v>
      </c>
      <c r="E658" t="s">
        <v>1868</v>
      </c>
    </row>
    <row r="659" spans="1:5" x14ac:dyDescent="0.3">
      <c r="A659">
        <v>658</v>
      </c>
      <c r="B659" t="s">
        <v>1869</v>
      </c>
      <c r="C659" t="s">
        <v>6</v>
      </c>
      <c r="D659" t="s">
        <v>1870</v>
      </c>
      <c r="E659" t="s">
        <v>1871</v>
      </c>
    </row>
    <row r="660" spans="1:5" x14ac:dyDescent="0.3">
      <c r="A660">
        <v>659</v>
      </c>
      <c r="B660" t="s">
        <v>1872</v>
      </c>
      <c r="C660" t="s">
        <v>14</v>
      </c>
      <c r="D660" t="s">
        <v>1873</v>
      </c>
      <c r="E660" t="s">
        <v>1874</v>
      </c>
    </row>
    <row r="661" spans="1:5" x14ac:dyDescent="0.3">
      <c r="A661">
        <v>660</v>
      </c>
      <c r="B661" t="s">
        <v>1875</v>
      </c>
      <c r="C661" t="s">
        <v>29</v>
      </c>
      <c r="D661" t="s">
        <v>1876</v>
      </c>
      <c r="E661" t="s">
        <v>1877</v>
      </c>
    </row>
    <row r="662" spans="1:5" x14ac:dyDescent="0.3">
      <c r="A662">
        <v>661</v>
      </c>
      <c r="B662" t="s">
        <v>1878</v>
      </c>
      <c r="C662" t="s">
        <v>29</v>
      </c>
      <c r="D662" t="s">
        <v>1879</v>
      </c>
      <c r="E662" t="s">
        <v>1880</v>
      </c>
    </row>
    <row r="663" spans="1:5" x14ac:dyDescent="0.3">
      <c r="A663">
        <v>662</v>
      </c>
      <c r="B663" t="s">
        <v>1881</v>
      </c>
      <c r="C663" t="s">
        <v>10</v>
      </c>
      <c r="D663" t="s">
        <v>1882</v>
      </c>
      <c r="E663" t="s">
        <v>1883</v>
      </c>
    </row>
    <row r="664" spans="1:5" x14ac:dyDescent="0.3">
      <c r="A664">
        <v>663</v>
      </c>
      <c r="B664" t="s">
        <v>1884</v>
      </c>
      <c r="C664" t="s">
        <v>14</v>
      </c>
      <c r="D664" t="s">
        <v>258</v>
      </c>
      <c r="E664" t="s">
        <v>1885</v>
      </c>
    </row>
    <row r="665" spans="1:5" x14ac:dyDescent="0.3">
      <c r="A665">
        <v>664</v>
      </c>
      <c r="B665" t="s">
        <v>1886</v>
      </c>
      <c r="C665" t="s">
        <v>10</v>
      </c>
      <c r="D665" t="s">
        <v>1529</v>
      </c>
      <c r="E665">
        <v>7800327079</v>
      </c>
    </row>
    <row r="666" spans="1:5" x14ac:dyDescent="0.3">
      <c r="A666">
        <v>665</v>
      </c>
      <c r="B666" t="s">
        <v>1887</v>
      </c>
      <c r="C666" t="s">
        <v>14</v>
      </c>
      <c r="D666" t="s">
        <v>1888</v>
      </c>
      <c r="E666" t="s">
        <v>1889</v>
      </c>
    </row>
    <row r="667" spans="1:5" x14ac:dyDescent="0.3">
      <c r="A667">
        <v>666</v>
      </c>
      <c r="B667" t="s">
        <v>1890</v>
      </c>
      <c r="C667" t="s">
        <v>14</v>
      </c>
      <c r="D667" t="s">
        <v>1891</v>
      </c>
      <c r="E667" t="s">
        <v>1892</v>
      </c>
    </row>
    <row r="668" spans="1:5" x14ac:dyDescent="0.3">
      <c r="A668">
        <v>667</v>
      </c>
      <c r="B668" t="s">
        <v>1893</v>
      </c>
      <c r="C668" t="s">
        <v>10</v>
      </c>
      <c r="D668" t="s">
        <v>1894</v>
      </c>
      <c r="E668" t="s">
        <v>1895</v>
      </c>
    </row>
    <row r="669" spans="1:5" x14ac:dyDescent="0.3">
      <c r="A669">
        <v>668</v>
      </c>
      <c r="B669" t="s">
        <v>1896</v>
      </c>
      <c r="C669" t="s">
        <v>14</v>
      </c>
      <c r="D669" t="s">
        <v>1166</v>
      </c>
      <c r="E669" t="s">
        <v>1897</v>
      </c>
    </row>
    <row r="670" spans="1:5" x14ac:dyDescent="0.3">
      <c r="A670">
        <v>669</v>
      </c>
      <c r="B670" t="s">
        <v>1898</v>
      </c>
      <c r="C670" t="s">
        <v>29</v>
      </c>
      <c r="D670" t="s">
        <v>1899</v>
      </c>
      <c r="E670" t="s">
        <v>1900</v>
      </c>
    </row>
    <row r="671" spans="1:5" x14ac:dyDescent="0.3">
      <c r="A671">
        <v>670</v>
      </c>
      <c r="B671" t="s">
        <v>1901</v>
      </c>
      <c r="C671" t="s">
        <v>14</v>
      </c>
      <c r="D671" t="s">
        <v>1902</v>
      </c>
      <c r="E671" t="s">
        <v>1903</v>
      </c>
    </row>
    <row r="672" spans="1:5" x14ac:dyDescent="0.3">
      <c r="A672">
        <v>671</v>
      </c>
      <c r="B672" t="s">
        <v>1904</v>
      </c>
      <c r="C672" t="s">
        <v>14</v>
      </c>
      <c r="D672" t="s">
        <v>1905</v>
      </c>
      <c r="E672">
        <v>6744184457</v>
      </c>
    </row>
    <row r="673" spans="1:5" x14ac:dyDescent="0.3">
      <c r="A673">
        <v>672</v>
      </c>
      <c r="B673" t="s">
        <v>1906</v>
      </c>
      <c r="C673" t="s">
        <v>29</v>
      </c>
      <c r="D673" t="s">
        <v>586</v>
      </c>
      <c r="E673" t="s">
        <v>1907</v>
      </c>
    </row>
    <row r="674" spans="1:5" x14ac:dyDescent="0.3">
      <c r="A674">
        <v>673</v>
      </c>
      <c r="B674" t="s">
        <v>1908</v>
      </c>
      <c r="C674" t="s">
        <v>29</v>
      </c>
      <c r="D674" t="s">
        <v>1909</v>
      </c>
      <c r="E674" t="s">
        <v>1910</v>
      </c>
    </row>
    <row r="675" spans="1:5" x14ac:dyDescent="0.3">
      <c r="A675">
        <v>674</v>
      </c>
      <c r="B675" t="s">
        <v>1911</v>
      </c>
      <c r="C675" t="s">
        <v>29</v>
      </c>
      <c r="D675" t="s">
        <v>1912</v>
      </c>
      <c r="E675" t="s">
        <v>1913</v>
      </c>
    </row>
    <row r="676" spans="1:5" x14ac:dyDescent="0.3">
      <c r="A676">
        <v>675</v>
      </c>
      <c r="B676" t="s">
        <v>1914</v>
      </c>
      <c r="C676" t="s">
        <v>14</v>
      </c>
      <c r="D676" t="s">
        <v>1915</v>
      </c>
      <c r="E676" t="s">
        <v>1916</v>
      </c>
    </row>
    <row r="677" spans="1:5" x14ac:dyDescent="0.3">
      <c r="A677">
        <v>676</v>
      </c>
      <c r="B677" t="s">
        <v>1917</v>
      </c>
      <c r="C677" t="s">
        <v>29</v>
      </c>
      <c r="D677" t="s">
        <v>1918</v>
      </c>
      <c r="E677" t="s">
        <v>1919</v>
      </c>
    </row>
    <row r="678" spans="1:5" x14ac:dyDescent="0.3">
      <c r="A678">
        <v>677</v>
      </c>
      <c r="B678" t="s">
        <v>1920</v>
      </c>
      <c r="C678" t="s">
        <v>29</v>
      </c>
      <c r="D678" t="s">
        <v>1921</v>
      </c>
      <c r="E678" t="s">
        <v>1922</v>
      </c>
    </row>
    <row r="679" spans="1:5" x14ac:dyDescent="0.3">
      <c r="A679">
        <v>678</v>
      </c>
      <c r="B679" t="s">
        <v>1923</v>
      </c>
      <c r="C679" t="s">
        <v>14</v>
      </c>
      <c r="D679" t="s">
        <v>1924</v>
      </c>
      <c r="E679" t="s">
        <v>1925</v>
      </c>
    </row>
    <row r="680" spans="1:5" x14ac:dyDescent="0.3">
      <c r="A680">
        <v>679</v>
      </c>
      <c r="B680" t="s">
        <v>1926</v>
      </c>
      <c r="C680" t="s">
        <v>6</v>
      </c>
      <c r="D680" t="s">
        <v>1927</v>
      </c>
      <c r="E680" t="s">
        <v>1928</v>
      </c>
    </row>
    <row r="681" spans="1:5" x14ac:dyDescent="0.3">
      <c r="A681">
        <v>680</v>
      </c>
      <c r="B681" t="s">
        <v>1929</v>
      </c>
      <c r="C681" t="s">
        <v>14</v>
      </c>
      <c r="D681" t="s">
        <v>1930</v>
      </c>
      <c r="E681" t="s">
        <v>1931</v>
      </c>
    </row>
    <row r="682" spans="1:5" x14ac:dyDescent="0.3">
      <c r="A682">
        <v>681</v>
      </c>
      <c r="B682" t="s">
        <v>1932</v>
      </c>
      <c r="C682" t="s">
        <v>6</v>
      </c>
      <c r="D682" t="s">
        <v>1933</v>
      </c>
      <c r="E682" t="s">
        <v>1934</v>
      </c>
    </row>
    <row r="683" spans="1:5" x14ac:dyDescent="0.3">
      <c r="A683">
        <v>682</v>
      </c>
      <c r="B683" t="s">
        <v>1935</v>
      </c>
      <c r="C683" t="s">
        <v>6</v>
      </c>
      <c r="D683" t="s">
        <v>1936</v>
      </c>
      <c r="E683" t="s">
        <v>1937</v>
      </c>
    </row>
    <row r="684" spans="1:5" x14ac:dyDescent="0.3">
      <c r="A684">
        <v>683</v>
      </c>
      <c r="B684" t="s">
        <v>1938</v>
      </c>
      <c r="C684" t="s">
        <v>14</v>
      </c>
      <c r="D684" t="s">
        <v>1939</v>
      </c>
      <c r="E684" t="s">
        <v>1940</v>
      </c>
    </row>
    <row r="685" spans="1:5" x14ac:dyDescent="0.3">
      <c r="A685">
        <v>684</v>
      </c>
      <c r="B685" t="s">
        <v>1941</v>
      </c>
      <c r="C685" t="s">
        <v>10</v>
      </c>
      <c r="D685" t="s">
        <v>1942</v>
      </c>
      <c r="E685" t="s">
        <v>1943</v>
      </c>
    </row>
    <row r="686" spans="1:5" x14ac:dyDescent="0.3">
      <c r="A686">
        <v>685</v>
      </c>
      <c r="B686" t="s">
        <v>1944</v>
      </c>
      <c r="C686" t="s">
        <v>10</v>
      </c>
      <c r="D686" t="s">
        <v>1945</v>
      </c>
      <c r="E686" t="s">
        <v>1946</v>
      </c>
    </row>
    <row r="687" spans="1:5" x14ac:dyDescent="0.3">
      <c r="A687">
        <v>686</v>
      </c>
      <c r="B687" t="s">
        <v>1947</v>
      </c>
      <c r="C687" t="s">
        <v>29</v>
      </c>
      <c r="D687" t="s">
        <v>1948</v>
      </c>
      <c r="E687" t="s">
        <v>1949</v>
      </c>
    </row>
    <row r="688" spans="1:5" x14ac:dyDescent="0.3">
      <c r="A688">
        <v>687</v>
      </c>
      <c r="B688" t="s">
        <v>1950</v>
      </c>
      <c r="C688" t="s">
        <v>14</v>
      </c>
      <c r="D688" t="s">
        <v>1951</v>
      </c>
      <c r="E688" t="s">
        <v>1952</v>
      </c>
    </row>
    <row r="689" spans="1:5" x14ac:dyDescent="0.3">
      <c r="A689">
        <v>688</v>
      </c>
      <c r="B689" t="s">
        <v>1953</v>
      </c>
      <c r="C689" t="s">
        <v>29</v>
      </c>
      <c r="D689" t="s">
        <v>1954</v>
      </c>
      <c r="E689" t="s">
        <v>1955</v>
      </c>
    </row>
    <row r="690" spans="1:5" x14ac:dyDescent="0.3">
      <c r="A690">
        <v>689</v>
      </c>
      <c r="B690" t="s">
        <v>1956</v>
      </c>
      <c r="C690" t="s">
        <v>14</v>
      </c>
      <c r="D690" t="s">
        <v>1957</v>
      </c>
      <c r="E690" t="s">
        <v>1958</v>
      </c>
    </row>
    <row r="691" spans="1:5" x14ac:dyDescent="0.3">
      <c r="A691">
        <v>690</v>
      </c>
      <c r="B691" t="s">
        <v>1959</v>
      </c>
      <c r="C691" t="s">
        <v>10</v>
      </c>
      <c r="D691" t="s">
        <v>1960</v>
      </c>
      <c r="E691" t="s">
        <v>1961</v>
      </c>
    </row>
    <row r="692" spans="1:5" x14ac:dyDescent="0.3">
      <c r="A692">
        <v>691</v>
      </c>
      <c r="B692" t="s">
        <v>1962</v>
      </c>
      <c r="C692" t="s">
        <v>10</v>
      </c>
      <c r="D692" t="s">
        <v>1963</v>
      </c>
      <c r="E692" t="s">
        <v>1964</v>
      </c>
    </row>
    <row r="693" spans="1:5" x14ac:dyDescent="0.3">
      <c r="A693">
        <v>692</v>
      </c>
      <c r="B693" t="s">
        <v>1965</v>
      </c>
      <c r="C693" t="s">
        <v>10</v>
      </c>
      <c r="D693" t="s">
        <v>1966</v>
      </c>
      <c r="E693" t="s">
        <v>1967</v>
      </c>
    </row>
    <row r="694" spans="1:5" x14ac:dyDescent="0.3">
      <c r="A694">
        <v>693</v>
      </c>
      <c r="B694" t="s">
        <v>1968</v>
      </c>
      <c r="C694" t="s">
        <v>10</v>
      </c>
      <c r="D694" t="s">
        <v>1969</v>
      </c>
      <c r="E694" t="s">
        <v>1970</v>
      </c>
    </row>
    <row r="695" spans="1:5" x14ac:dyDescent="0.3">
      <c r="A695">
        <v>694</v>
      </c>
      <c r="B695" t="s">
        <v>1971</v>
      </c>
      <c r="C695" t="s">
        <v>6</v>
      </c>
      <c r="D695" t="s">
        <v>1972</v>
      </c>
      <c r="E695" t="s">
        <v>1973</v>
      </c>
    </row>
    <row r="696" spans="1:5" x14ac:dyDescent="0.3">
      <c r="A696">
        <v>695</v>
      </c>
      <c r="B696" t="s">
        <v>1974</v>
      </c>
      <c r="C696" t="s">
        <v>10</v>
      </c>
      <c r="D696" t="s">
        <v>1975</v>
      </c>
      <c r="E696" t="s">
        <v>1976</v>
      </c>
    </row>
    <row r="697" spans="1:5" x14ac:dyDescent="0.3">
      <c r="A697">
        <v>696</v>
      </c>
      <c r="B697" t="s">
        <v>1977</v>
      </c>
      <c r="C697" t="s">
        <v>29</v>
      </c>
      <c r="D697" t="s">
        <v>1978</v>
      </c>
      <c r="E697" t="s">
        <v>1979</v>
      </c>
    </row>
    <row r="698" spans="1:5" x14ac:dyDescent="0.3">
      <c r="A698">
        <v>697</v>
      </c>
      <c r="B698" t="s">
        <v>1980</v>
      </c>
      <c r="C698" t="s">
        <v>29</v>
      </c>
      <c r="D698" t="s">
        <v>1981</v>
      </c>
      <c r="E698">
        <v>5465940771</v>
      </c>
    </row>
    <row r="699" spans="1:5" x14ac:dyDescent="0.3">
      <c r="A699">
        <v>698</v>
      </c>
      <c r="B699" t="s">
        <v>1982</v>
      </c>
      <c r="C699" t="s">
        <v>29</v>
      </c>
      <c r="D699" t="s">
        <v>1983</v>
      </c>
      <c r="E699" t="s">
        <v>1984</v>
      </c>
    </row>
    <row r="700" spans="1:5" x14ac:dyDescent="0.3">
      <c r="A700">
        <v>699</v>
      </c>
      <c r="B700" t="s">
        <v>1985</v>
      </c>
      <c r="C700" t="s">
        <v>29</v>
      </c>
      <c r="D700" t="s">
        <v>1986</v>
      </c>
      <c r="E700" t="s">
        <v>1987</v>
      </c>
    </row>
    <row r="701" spans="1:5" x14ac:dyDescent="0.3">
      <c r="A701">
        <v>700</v>
      </c>
      <c r="B701" t="s">
        <v>1988</v>
      </c>
      <c r="C701" t="s">
        <v>6</v>
      </c>
      <c r="D701" t="s">
        <v>1989</v>
      </c>
      <c r="E701" t="s">
        <v>1990</v>
      </c>
    </row>
    <row r="702" spans="1:5" x14ac:dyDescent="0.3">
      <c r="A702">
        <v>701</v>
      </c>
      <c r="B702" t="s">
        <v>1991</v>
      </c>
      <c r="C702" t="s">
        <v>14</v>
      </c>
      <c r="D702" t="s">
        <v>1992</v>
      </c>
      <c r="E702" t="s">
        <v>1993</v>
      </c>
    </row>
    <row r="703" spans="1:5" x14ac:dyDescent="0.3">
      <c r="A703">
        <v>702</v>
      </c>
      <c r="B703" t="s">
        <v>1994</v>
      </c>
      <c r="C703" t="s">
        <v>29</v>
      </c>
      <c r="D703" t="s">
        <v>1995</v>
      </c>
      <c r="E703" t="s">
        <v>1996</v>
      </c>
    </row>
    <row r="704" spans="1:5" x14ac:dyDescent="0.3">
      <c r="A704">
        <v>703</v>
      </c>
      <c r="B704" t="s">
        <v>1997</v>
      </c>
      <c r="C704" t="s">
        <v>10</v>
      </c>
      <c r="D704" t="s">
        <v>1998</v>
      </c>
      <c r="E704" t="s">
        <v>1999</v>
      </c>
    </row>
    <row r="705" spans="1:5" x14ac:dyDescent="0.3">
      <c r="A705">
        <v>704</v>
      </c>
      <c r="B705" t="s">
        <v>2000</v>
      </c>
      <c r="C705" t="s">
        <v>14</v>
      </c>
      <c r="D705" t="s">
        <v>2001</v>
      </c>
      <c r="E705" t="s">
        <v>2002</v>
      </c>
    </row>
    <row r="706" spans="1:5" x14ac:dyDescent="0.3">
      <c r="A706">
        <v>705</v>
      </c>
      <c r="B706" t="s">
        <v>2003</v>
      </c>
      <c r="C706" t="s">
        <v>29</v>
      </c>
      <c r="D706" t="s">
        <v>2004</v>
      </c>
      <c r="E706" t="s">
        <v>2005</v>
      </c>
    </row>
    <row r="707" spans="1:5" x14ac:dyDescent="0.3">
      <c r="A707">
        <v>706</v>
      </c>
      <c r="B707" t="s">
        <v>2006</v>
      </c>
      <c r="C707" t="s">
        <v>6</v>
      </c>
      <c r="D707" t="s">
        <v>2007</v>
      </c>
      <c r="E707" t="s">
        <v>2008</v>
      </c>
    </row>
    <row r="708" spans="1:5" x14ac:dyDescent="0.3">
      <c r="A708">
        <v>707</v>
      </c>
      <c r="B708" t="s">
        <v>2009</v>
      </c>
      <c r="C708" t="s">
        <v>29</v>
      </c>
      <c r="D708" t="s">
        <v>2010</v>
      </c>
      <c r="E708" t="s">
        <v>2011</v>
      </c>
    </row>
    <row r="709" spans="1:5" x14ac:dyDescent="0.3">
      <c r="A709">
        <v>708</v>
      </c>
      <c r="B709" t="s">
        <v>2012</v>
      </c>
      <c r="C709" t="s">
        <v>10</v>
      </c>
      <c r="D709" t="s">
        <v>2013</v>
      </c>
      <c r="E709" t="s">
        <v>2014</v>
      </c>
    </row>
    <row r="710" spans="1:5" x14ac:dyDescent="0.3">
      <c r="A710">
        <v>709</v>
      </c>
      <c r="B710" t="s">
        <v>531</v>
      </c>
      <c r="C710" t="s">
        <v>10</v>
      </c>
      <c r="D710" t="s">
        <v>2015</v>
      </c>
      <c r="E710" t="s">
        <v>2016</v>
      </c>
    </row>
    <row r="711" spans="1:5" x14ac:dyDescent="0.3">
      <c r="A711">
        <v>710</v>
      </c>
      <c r="B711" t="s">
        <v>2017</v>
      </c>
      <c r="C711" t="s">
        <v>6</v>
      </c>
      <c r="D711" t="s">
        <v>2018</v>
      </c>
      <c r="E711" t="s">
        <v>2019</v>
      </c>
    </row>
    <row r="712" spans="1:5" x14ac:dyDescent="0.3">
      <c r="A712">
        <v>711</v>
      </c>
      <c r="B712" t="s">
        <v>2020</v>
      </c>
      <c r="C712" t="s">
        <v>6</v>
      </c>
      <c r="D712" t="s">
        <v>2021</v>
      </c>
      <c r="E712" t="s">
        <v>2022</v>
      </c>
    </row>
    <row r="713" spans="1:5" x14ac:dyDescent="0.3">
      <c r="A713">
        <v>712</v>
      </c>
      <c r="B713" t="s">
        <v>2023</v>
      </c>
      <c r="C713" t="s">
        <v>14</v>
      </c>
      <c r="D713" t="s">
        <v>2024</v>
      </c>
      <c r="E713" t="s">
        <v>2025</v>
      </c>
    </row>
    <row r="714" spans="1:5" x14ac:dyDescent="0.3">
      <c r="A714">
        <v>713</v>
      </c>
      <c r="B714" t="s">
        <v>2026</v>
      </c>
      <c r="C714" t="s">
        <v>6</v>
      </c>
      <c r="D714" t="s">
        <v>2027</v>
      </c>
      <c r="E714" t="s">
        <v>2028</v>
      </c>
    </row>
    <row r="715" spans="1:5" x14ac:dyDescent="0.3">
      <c r="A715">
        <v>714</v>
      </c>
      <c r="B715" t="s">
        <v>2029</v>
      </c>
      <c r="C715" t="s">
        <v>10</v>
      </c>
      <c r="D715" t="s">
        <v>2030</v>
      </c>
      <c r="E715" t="s">
        <v>2031</v>
      </c>
    </row>
    <row r="716" spans="1:5" x14ac:dyDescent="0.3">
      <c r="A716">
        <v>715</v>
      </c>
      <c r="B716" t="s">
        <v>2032</v>
      </c>
      <c r="C716" t="s">
        <v>29</v>
      </c>
      <c r="D716" t="s">
        <v>2033</v>
      </c>
      <c r="E716" t="s">
        <v>2034</v>
      </c>
    </row>
    <row r="717" spans="1:5" x14ac:dyDescent="0.3">
      <c r="A717">
        <v>716</v>
      </c>
      <c r="B717" t="s">
        <v>2035</v>
      </c>
      <c r="C717" t="s">
        <v>10</v>
      </c>
      <c r="D717" t="s">
        <v>2036</v>
      </c>
      <c r="E717" t="s">
        <v>2037</v>
      </c>
    </row>
    <row r="718" spans="1:5" x14ac:dyDescent="0.3">
      <c r="A718">
        <v>717</v>
      </c>
      <c r="B718" t="s">
        <v>2038</v>
      </c>
      <c r="C718" t="s">
        <v>10</v>
      </c>
      <c r="D718" t="s">
        <v>2039</v>
      </c>
      <c r="E718" t="s">
        <v>2040</v>
      </c>
    </row>
    <row r="719" spans="1:5" x14ac:dyDescent="0.3">
      <c r="A719">
        <v>718</v>
      </c>
      <c r="B719" t="s">
        <v>2041</v>
      </c>
      <c r="C719" t="s">
        <v>10</v>
      </c>
      <c r="D719" t="s">
        <v>2042</v>
      </c>
      <c r="E719" t="s">
        <v>2043</v>
      </c>
    </row>
    <row r="720" spans="1:5" x14ac:dyDescent="0.3">
      <c r="A720">
        <v>719</v>
      </c>
      <c r="B720" t="s">
        <v>2044</v>
      </c>
      <c r="C720" t="s">
        <v>14</v>
      </c>
      <c r="D720" t="s">
        <v>2045</v>
      </c>
      <c r="E720" t="s">
        <v>2046</v>
      </c>
    </row>
    <row r="721" spans="1:5" x14ac:dyDescent="0.3">
      <c r="A721">
        <v>720</v>
      </c>
      <c r="B721" t="s">
        <v>2047</v>
      </c>
      <c r="C721" t="s">
        <v>10</v>
      </c>
      <c r="D721" t="s">
        <v>2048</v>
      </c>
      <c r="E721" t="s">
        <v>2049</v>
      </c>
    </row>
    <row r="722" spans="1:5" x14ac:dyDescent="0.3">
      <c r="A722">
        <v>721</v>
      </c>
      <c r="B722" t="s">
        <v>2050</v>
      </c>
      <c r="C722" t="s">
        <v>29</v>
      </c>
      <c r="D722" t="s">
        <v>2051</v>
      </c>
      <c r="E722" t="s">
        <v>2052</v>
      </c>
    </row>
    <row r="723" spans="1:5" x14ac:dyDescent="0.3">
      <c r="A723">
        <v>722</v>
      </c>
      <c r="B723" t="s">
        <v>2053</v>
      </c>
      <c r="C723" t="s">
        <v>14</v>
      </c>
      <c r="D723" t="s">
        <v>2054</v>
      </c>
      <c r="E723" t="s">
        <v>2055</v>
      </c>
    </row>
    <row r="724" spans="1:5" x14ac:dyDescent="0.3">
      <c r="A724">
        <v>723</v>
      </c>
      <c r="B724" t="s">
        <v>2056</v>
      </c>
      <c r="C724" t="s">
        <v>10</v>
      </c>
      <c r="D724" t="s">
        <v>2057</v>
      </c>
      <c r="E724">
        <f>1-465-856-2095</f>
        <v>-3415</v>
      </c>
    </row>
    <row r="725" spans="1:5" x14ac:dyDescent="0.3">
      <c r="A725">
        <v>724</v>
      </c>
      <c r="B725" t="s">
        <v>2058</v>
      </c>
      <c r="C725" t="s">
        <v>6</v>
      </c>
      <c r="D725" t="s">
        <v>2059</v>
      </c>
      <c r="E725" t="s">
        <v>2060</v>
      </c>
    </row>
    <row r="726" spans="1:5" x14ac:dyDescent="0.3">
      <c r="A726">
        <v>725</v>
      </c>
      <c r="B726" t="s">
        <v>2061</v>
      </c>
      <c r="C726" t="s">
        <v>14</v>
      </c>
      <c r="D726" t="s">
        <v>2062</v>
      </c>
      <c r="E726" t="s">
        <v>2063</v>
      </c>
    </row>
    <row r="727" spans="1:5" x14ac:dyDescent="0.3">
      <c r="A727">
        <v>726</v>
      </c>
      <c r="B727" t="s">
        <v>2064</v>
      </c>
      <c r="C727" t="s">
        <v>6</v>
      </c>
      <c r="D727" t="s">
        <v>2065</v>
      </c>
      <c r="E727" t="s">
        <v>2066</v>
      </c>
    </row>
    <row r="728" spans="1:5" x14ac:dyDescent="0.3">
      <c r="A728">
        <v>727</v>
      </c>
      <c r="B728" t="s">
        <v>2067</v>
      </c>
      <c r="C728" t="s">
        <v>6</v>
      </c>
      <c r="D728" t="s">
        <v>2068</v>
      </c>
      <c r="E728" t="s">
        <v>2069</v>
      </c>
    </row>
    <row r="729" spans="1:5" x14ac:dyDescent="0.3">
      <c r="A729">
        <v>728</v>
      </c>
      <c r="B729" t="s">
        <v>2070</v>
      </c>
      <c r="C729" t="s">
        <v>29</v>
      </c>
      <c r="D729" t="s">
        <v>2071</v>
      </c>
      <c r="E729" t="s">
        <v>2072</v>
      </c>
    </row>
    <row r="730" spans="1:5" x14ac:dyDescent="0.3">
      <c r="A730">
        <v>729</v>
      </c>
      <c r="B730" t="s">
        <v>2073</v>
      </c>
      <c r="C730" t="s">
        <v>29</v>
      </c>
      <c r="D730" t="s">
        <v>2074</v>
      </c>
      <c r="E730">
        <f>1-843-6-1807</f>
        <v>-2655</v>
      </c>
    </row>
    <row r="731" spans="1:5" x14ac:dyDescent="0.3">
      <c r="A731">
        <v>730</v>
      </c>
      <c r="B731" t="s">
        <v>2075</v>
      </c>
      <c r="C731" t="s">
        <v>6</v>
      </c>
      <c r="D731" t="s">
        <v>2076</v>
      </c>
      <c r="E731" t="s">
        <v>2077</v>
      </c>
    </row>
    <row r="732" spans="1:5" x14ac:dyDescent="0.3">
      <c r="A732">
        <v>731</v>
      </c>
      <c r="B732" t="s">
        <v>2078</v>
      </c>
      <c r="C732" t="s">
        <v>29</v>
      </c>
      <c r="D732" t="s">
        <v>2079</v>
      </c>
      <c r="E732" t="s">
        <v>2080</v>
      </c>
    </row>
    <row r="733" spans="1:5" x14ac:dyDescent="0.3">
      <c r="A733">
        <v>732</v>
      </c>
      <c r="B733" t="s">
        <v>2081</v>
      </c>
      <c r="C733" t="s">
        <v>6</v>
      </c>
      <c r="D733" t="s">
        <v>2082</v>
      </c>
      <c r="E733" t="s">
        <v>2083</v>
      </c>
    </row>
    <row r="734" spans="1:5" x14ac:dyDescent="0.3">
      <c r="A734">
        <v>733</v>
      </c>
      <c r="B734" t="s">
        <v>2084</v>
      </c>
      <c r="C734" t="s">
        <v>10</v>
      </c>
      <c r="D734" t="s">
        <v>785</v>
      </c>
      <c r="E734" t="s">
        <v>2085</v>
      </c>
    </row>
    <row r="735" spans="1:5" x14ac:dyDescent="0.3">
      <c r="A735">
        <v>734</v>
      </c>
      <c r="B735" t="s">
        <v>2086</v>
      </c>
      <c r="C735" t="s">
        <v>14</v>
      </c>
      <c r="D735" t="s">
        <v>2087</v>
      </c>
      <c r="E735" t="s">
        <v>2088</v>
      </c>
    </row>
    <row r="736" spans="1:5" x14ac:dyDescent="0.3">
      <c r="A736">
        <v>735</v>
      </c>
      <c r="B736" t="s">
        <v>2089</v>
      </c>
      <c r="C736" t="s">
        <v>10</v>
      </c>
      <c r="D736" t="s">
        <v>2090</v>
      </c>
      <c r="E736" t="s">
        <v>2091</v>
      </c>
    </row>
    <row r="737" spans="1:5" x14ac:dyDescent="0.3">
      <c r="A737">
        <v>736</v>
      </c>
      <c r="B737" t="s">
        <v>2092</v>
      </c>
      <c r="C737" t="s">
        <v>29</v>
      </c>
      <c r="D737" t="s">
        <v>2093</v>
      </c>
      <c r="E737" t="s">
        <v>2094</v>
      </c>
    </row>
    <row r="738" spans="1:5" x14ac:dyDescent="0.3">
      <c r="A738">
        <v>737</v>
      </c>
      <c r="B738" t="s">
        <v>2095</v>
      </c>
      <c r="C738" t="s">
        <v>6</v>
      </c>
      <c r="D738" t="s">
        <v>2096</v>
      </c>
      <c r="E738" t="s">
        <v>2097</v>
      </c>
    </row>
    <row r="739" spans="1:5" x14ac:dyDescent="0.3">
      <c r="A739">
        <v>738</v>
      </c>
      <c r="B739" t="s">
        <v>2098</v>
      </c>
      <c r="C739" t="s">
        <v>29</v>
      </c>
      <c r="D739" t="s">
        <v>1801</v>
      </c>
      <c r="E739" t="s">
        <v>2099</v>
      </c>
    </row>
    <row r="740" spans="1:5" x14ac:dyDescent="0.3">
      <c r="A740">
        <v>739</v>
      </c>
      <c r="B740" t="s">
        <v>2100</v>
      </c>
      <c r="C740" t="s">
        <v>6</v>
      </c>
      <c r="D740" t="s">
        <v>2101</v>
      </c>
      <c r="E740" t="s">
        <v>2102</v>
      </c>
    </row>
    <row r="741" spans="1:5" x14ac:dyDescent="0.3">
      <c r="A741">
        <v>740</v>
      </c>
      <c r="B741" t="s">
        <v>2103</v>
      </c>
      <c r="C741" t="s">
        <v>29</v>
      </c>
      <c r="D741" t="s">
        <v>2104</v>
      </c>
      <c r="E741" t="s">
        <v>2105</v>
      </c>
    </row>
    <row r="742" spans="1:5" x14ac:dyDescent="0.3">
      <c r="A742">
        <v>741</v>
      </c>
      <c r="B742" t="s">
        <v>2106</v>
      </c>
      <c r="C742" t="s">
        <v>29</v>
      </c>
      <c r="D742" t="s">
        <v>2107</v>
      </c>
      <c r="E742" t="s">
        <v>2108</v>
      </c>
    </row>
    <row r="743" spans="1:5" x14ac:dyDescent="0.3">
      <c r="A743">
        <v>742</v>
      </c>
      <c r="B743" t="s">
        <v>2109</v>
      </c>
      <c r="C743" t="s">
        <v>29</v>
      </c>
      <c r="D743" t="s">
        <v>2110</v>
      </c>
      <c r="E743" t="s">
        <v>2111</v>
      </c>
    </row>
    <row r="744" spans="1:5" x14ac:dyDescent="0.3">
      <c r="A744">
        <v>743</v>
      </c>
      <c r="B744" t="s">
        <v>2112</v>
      </c>
      <c r="C744" t="s">
        <v>29</v>
      </c>
      <c r="D744" t="s">
        <v>739</v>
      </c>
      <c r="E744" t="s">
        <v>2113</v>
      </c>
    </row>
    <row r="745" spans="1:5" x14ac:dyDescent="0.3">
      <c r="A745">
        <v>744</v>
      </c>
      <c r="B745" t="s">
        <v>2114</v>
      </c>
      <c r="C745" t="s">
        <v>10</v>
      </c>
      <c r="D745" t="s">
        <v>2115</v>
      </c>
      <c r="E745" t="s">
        <v>2116</v>
      </c>
    </row>
    <row r="746" spans="1:5" x14ac:dyDescent="0.3">
      <c r="A746">
        <v>745</v>
      </c>
      <c r="B746" t="s">
        <v>2117</v>
      </c>
      <c r="C746" t="s">
        <v>14</v>
      </c>
      <c r="D746" t="s">
        <v>2118</v>
      </c>
      <c r="E746" t="s">
        <v>2119</v>
      </c>
    </row>
    <row r="747" spans="1:5" x14ac:dyDescent="0.3">
      <c r="A747">
        <v>746</v>
      </c>
      <c r="B747" t="s">
        <v>2120</v>
      </c>
      <c r="C747" t="s">
        <v>14</v>
      </c>
      <c r="D747" t="s">
        <v>2121</v>
      </c>
      <c r="E747" t="s">
        <v>2122</v>
      </c>
    </row>
    <row r="748" spans="1:5" x14ac:dyDescent="0.3">
      <c r="A748">
        <v>747</v>
      </c>
      <c r="B748" t="s">
        <v>2123</v>
      </c>
      <c r="C748" t="s">
        <v>6</v>
      </c>
      <c r="D748" t="s">
        <v>2124</v>
      </c>
      <c r="E748" t="s">
        <v>2125</v>
      </c>
    </row>
    <row r="749" spans="1:5" x14ac:dyDescent="0.3">
      <c r="A749">
        <v>748</v>
      </c>
      <c r="B749" t="s">
        <v>2126</v>
      </c>
      <c r="C749" t="s">
        <v>29</v>
      </c>
      <c r="D749" t="s">
        <v>2127</v>
      </c>
      <c r="E749" t="s">
        <v>2128</v>
      </c>
    </row>
    <row r="750" spans="1:5" x14ac:dyDescent="0.3">
      <c r="A750">
        <v>749</v>
      </c>
      <c r="B750" t="s">
        <v>2129</v>
      </c>
      <c r="C750" t="s">
        <v>10</v>
      </c>
      <c r="D750" t="s">
        <v>2130</v>
      </c>
      <c r="E750" t="s">
        <v>2131</v>
      </c>
    </row>
    <row r="751" spans="1:5" x14ac:dyDescent="0.3">
      <c r="A751">
        <v>750</v>
      </c>
      <c r="B751" t="s">
        <v>2132</v>
      </c>
      <c r="C751" t="s">
        <v>29</v>
      </c>
      <c r="D751" t="s">
        <v>2133</v>
      </c>
      <c r="E751" t="s">
        <v>2134</v>
      </c>
    </row>
    <row r="752" spans="1:5" x14ac:dyDescent="0.3">
      <c r="A752">
        <v>751</v>
      </c>
      <c r="B752" t="s">
        <v>2135</v>
      </c>
      <c r="C752" t="s">
        <v>6</v>
      </c>
      <c r="D752" t="s">
        <v>2136</v>
      </c>
      <c r="E752" t="s">
        <v>2137</v>
      </c>
    </row>
    <row r="753" spans="1:5" x14ac:dyDescent="0.3">
      <c r="A753">
        <v>752</v>
      </c>
      <c r="B753" t="s">
        <v>2138</v>
      </c>
      <c r="C753" t="s">
        <v>10</v>
      </c>
      <c r="D753" t="s">
        <v>2139</v>
      </c>
      <c r="E753">
        <f>1-825-364-4624</f>
        <v>-5812</v>
      </c>
    </row>
    <row r="754" spans="1:5" x14ac:dyDescent="0.3">
      <c r="A754">
        <v>753</v>
      </c>
      <c r="B754" t="s">
        <v>2140</v>
      </c>
      <c r="C754" t="s">
        <v>29</v>
      </c>
      <c r="D754" t="s">
        <v>2141</v>
      </c>
      <c r="E754" t="s">
        <v>2142</v>
      </c>
    </row>
    <row r="755" spans="1:5" x14ac:dyDescent="0.3">
      <c r="A755">
        <v>754</v>
      </c>
      <c r="B755" t="s">
        <v>2143</v>
      </c>
      <c r="C755" t="s">
        <v>10</v>
      </c>
      <c r="D755" t="s">
        <v>2144</v>
      </c>
      <c r="E755" t="s">
        <v>2145</v>
      </c>
    </row>
    <row r="756" spans="1:5" x14ac:dyDescent="0.3">
      <c r="A756">
        <v>755</v>
      </c>
      <c r="B756" t="s">
        <v>2146</v>
      </c>
      <c r="C756" t="s">
        <v>6</v>
      </c>
      <c r="D756" t="s">
        <v>2147</v>
      </c>
      <c r="E756" t="s">
        <v>2148</v>
      </c>
    </row>
    <row r="757" spans="1:5" x14ac:dyDescent="0.3">
      <c r="A757">
        <v>756</v>
      </c>
      <c r="B757" t="s">
        <v>2149</v>
      </c>
      <c r="C757" t="s">
        <v>14</v>
      </c>
      <c r="D757" t="s">
        <v>2150</v>
      </c>
      <c r="E757" t="s">
        <v>2151</v>
      </c>
    </row>
    <row r="758" spans="1:5" x14ac:dyDescent="0.3">
      <c r="A758">
        <v>757</v>
      </c>
      <c r="B758" t="s">
        <v>2152</v>
      </c>
      <c r="C758" t="s">
        <v>29</v>
      </c>
      <c r="D758" t="s">
        <v>2153</v>
      </c>
      <c r="E758" t="s">
        <v>2154</v>
      </c>
    </row>
    <row r="759" spans="1:5" x14ac:dyDescent="0.3">
      <c r="A759">
        <v>758</v>
      </c>
      <c r="B759" t="s">
        <v>2155</v>
      </c>
      <c r="C759" t="s">
        <v>14</v>
      </c>
      <c r="D759" t="s">
        <v>2156</v>
      </c>
      <c r="E759" t="s">
        <v>2157</v>
      </c>
    </row>
    <row r="760" spans="1:5" x14ac:dyDescent="0.3">
      <c r="A760">
        <v>759</v>
      </c>
      <c r="B760" t="s">
        <v>2158</v>
      </c>
      <c r="C760" t="s">
        <v>6</v>
      </c>
      <c r="D760" t="s">
        <v>2159</v>
      </c>
      <c r="E760" t="s">
        <v>2160</v>
      </c>
    </row>
    <row r="761" spans="1:5" x14ac:dyDescent="0.3">
      <c r="A761">
        <v>760</v>
      </c>
      <c r="B761" t="s">
        <v>2161</v>
      </c>
      <c r="C761" t="s">
        <v>6</v>
      </c>
      <c r="D761" t="s">
        <v>2162</v>
      </c>
      <c r="E761" t="s">
        <v>2163</v>
      </c>
    </row>
    <row r="762" spans="1:5" x14ac:dyDescent="0.3">
      <c r="A762">
        <v>761</v>
      </c>
      <c r="B762" t="s">
        <v>2164</v>
      </c>
      <c r="C762" t="s">
        <v>6</v>
      </c>
      <c r="D762" t="s">
        <v>2165</v>
      </c>
      <c r="E762" t="s">
        <v>2166</v>
      </c>
    </row>
    <row r="763" spans="1:5" x14ac:dyDescent="0.3">
      <c r="A763">
        <v>762</v>
      </c>
      <c r="B763" t="s">
        <v>2167</v>
      </c>
      <c r="C763" t="s">
        <v>14</v>
      </c>
      <c r="D763" t="s">
        <v>2168</v>
      </c>
      <c r="E763">
        <v>9564962501</v>
      </c>
    </row>
    <row r="764" spans="1:5" x14ac:dyDescent="0.3">
      <c r="A764">
        <v>763</v>
      </c>
      <c r="B764" t="s">
        <v>2169</v>
      </c>
      <c r="C764" t="s">
        <v>6</v>
      </c>
      <c r="D764" t="s">
        <v>2170</v>
      </c>
      <c r="E764" t="s">
        <v>2171</v>
      </c>
    </row>
    <row r="765" spans="1:5" x14ac:dyDescent="0.3">
      <c r="A765">
        <v>764</v>
      </c>
      <c r="B765" t="s">
        <v>2172</v>
      </c>
      <c r="C765" t="s">
        <v>6</v>
      </c>
      <c r="D765" t="s">
        <v>2173</v>
      </c>
      <c r="E765">
        <v>4814373776</v>
      </c>
    </row>
    <row r="766" spans="1:5" x14ac:dyDescent="0.3">
      <c r="A766">
        <v>765</v>
      </c>
      <c r="B766" t="s">
        <v>2174</v>
      </c>
      <c r="C766" t="s">
        <v>6</v>
      </c>
      <c r="D766" t="s">
        <v>2175</v>
      </c>
      <c r="E766" t="s">
        <v>2176</v>
      </c>
    </row>
    <row r="767" spans="1:5" x14ac:dyDescent="0.3">
      <c r="A767">
        <v>766</v>
      </c>
      <c r="B767" t="s">
        <v>2177</v>
      </c>
      <c r="C767" t="s">
        <v>6</v>
      </c>
      <c r="D767" t="s">
        <v>2178</v>
      </c>
      <c r="E767" t="s">
        <v>2179</v>
      </c>
    </row>
    <row r="768" spans="1:5" x14ac:dyDescent="0.3">
      <c r="A768">
        <v>767</v>
      </c>
      <c r="B768" t="s">
        <v>2180</v>
      </c>
      <c r="C768" t="s">
        <v>6</v>
      </c>
      <c r="D768" t="s">
        <v>2181</v>
      </c>
      <c r="E768" t="s">
        <v>2182</v>
      </c>
    </row>
    <row r="769" spans="1:5" x14ac:dyDescent="0.3">
      <c r="A769">
        <v>768</v>
      </c>
      <c r="B769" t="s">
        <v>2183</v>
      </c>
      <c r="C769" t="s">
        <v>29</v>
      </c>
      <c r="D769" t="s">
        <v>2184</v>
      </c>
      <c r="E769" t="s">
        <v>2185</v>
      </c>
    </row>
    <row r="770" spans="1:5" x14ac:dyDescent="0.3">
      <c r="A770">
        <v>769</v>
      </c>
      <c r="B770" t="s">
        <v>2186</v>
      </c>
      <c r="C770" t="s">
        <v>6</v>
      </c>
      <c r="D770" t="s">
        <v>2187</v>
      </c>
      <c r="E770">
        <f>1-3-320-5395</f>
        <v>-5717</v>
      </c>
    </row>
    <row r="771" spans="1:5" x14ac:dyDescent="0.3">
      <c r="A771">
        <v>770</v>
      </c>
      <c r="B771" t="s">
        <v>2188</v>
      </c>
      <c r="C771" t="s">
        <v>29</v>
      </c>
      <c r="D771" t="s">
        <v>2189</v>
      </c>
      <c r="E771" t="s">
        <v>2190</v>
      </c>
    </row>
    <row r="772" spans="1:5" x14ac:dyDescent="0.3">
      <c r="A772">
        <v>771</v>
      </c>
      <c r="B772" t="s">
        <v>2191</v>
      </c>
      <c r="C772" t="s">
        <v>10</v>
      </c>
      <c r="D772" t="s">
        <v>2192</v>
      </c>
      <c r="E772">
        <v>4916631678</v>
      </c>
    </row>
    <row r="773" spans="1:5" x14ac:dyDescent="0.3">
      <c r="A773">
        <v>772</v>
      </c>
      <c r="B773" t="s">
        <v>2193</v>
      </c>
      <c r="C773" t="s">
        <v>29</v>
      </c>
      <c r="D773" t="s">
        <v>2194</v>
      </c>
      <c r="E773" t="s">
        <v>2195</v>
      </c>
    </row>
    <row r="774" spans="1:5" x14ac:dyDescent="0.3">
      <c r="A774">
        <v>773</v>
      </c>
      <c r="B774" t="s">
        <v>2196</v>
      </c>
      <c r="C774" t="s">
        <v>14</v>
      </c>
      <c r="D774" t="s">
        <v>2197</v>
      </c>
      <c r="E774" t="s">
        <v>2198</v>
      </c>
    </row>
    <row r="775" spans="1:5" x14ac:dyDescent="0.3">
      <c r="A775">
        <v>774</v>
      </c>
      <c r="B775" t="s">
        <v>2199</v>
      </c>
      <c r="C775" t="s">
        <v>14</v>
      </c>
      <c r="D775" t="s">
        <v>2200</v>
      </c>
      <c r="E775" t="s">
        <v>2201</v>
      </c>
    </row>
    <row r="776" spans="1:5" x14ac:dyDescent="0.3">
      <c r="A776">
        <v>775</v>
      </c>
      <c r="B776" t="s">
        <v>2202</v>
      </c>
      <c r="C776" t="s">
        <v>29</v>
      </c>
      <c r="D776" t="s">
        <v>2203</v>
      </c>
      <c r="E776" t="s">
        <v>2204</v>
      </c>
    </row>
    <row r="777" spans="1:5" x14ac:dyDescent="0.3">
      <c r="A777">
        <v>776</v>
      </c>
      <c r="B777" t="s">
        <v>2205</v>
      </c>
      <c r="C777" t="s">
        <v>6</v>
      </c>
      <c r="D777" t="s">
        <v>2206</v>
      </c>
      <c r="E777" t="s">
        <v>2207</v>
      </c>
    </row>
    <row r="778" spans="1:5" x14ac:dyDescent="0.3">
      <c r="A778">
        <v>777</v>
      </c>
      <c r="B778" t="s">
        <v>2208</v>
      </c>
      <c r="C778" t="s">
        <v>6</v>
      </c>
      <c r="D778" t="s">
        <v>2209</v>
      </c>
      <c r="E778" t="s">
        <v>2210</v>
      </c>
    </row>
    <row r="779" spans="1:5" x14ac:dyDescent="0.3">
      <c r="A779">
        <v>778</v>
      </c>
      <c r="B779" t="s">
        <v>2211</v>
      </c>
      <c r="C779" t="s">
        <v>6</v>
      </c>
      <c r="D779" t="s">
        <v>2212</v>
      </c>
      <c r="E779" t="s">
        <v>2213</v>
      </c>
    </row>
    <row r="780" spans="1:5" x14ac:dyDescent="0.3">
      <c r="A780">
        <v>779</v>
      </c>
      <c r="B780" t="s">
        <v>2214</v>
      </c>
      <c r="C780" t="s">
        <v>14</v>
      </c>
      <c r="D780" t="s">
        <v>2215</v>
      </c>
      <c r="E780" t="s">
        <v>2216</v>
      </c>
    </row>
    <row r="781" spans="1:5" x14ac:dyDescent="0.3">
      <c r="A781">
        <v>780</v>
      </c>
      <c r="B781" t="s">
        <v>2217</v>
      </c>
      <c r="C781" t="s">
        <v>6</v>
      </c>
      <c r="D781" t="s">
        <v>2218</v>
      </c>
      <c r="E781" t="s">
        <v>2219</v>
      </c>
    </row>
    <row r="782" spans="1:5" x14ac:dyDescent="0.3">
      <c r="A782">
        <v>781</v>
      </c>
      <c r="B782" t="s">
        <v>2220</v>
      </c>
      <c r="C782" t="s">
        <v>14</v>
      </c>
      <c r="D782" t="s">
        <v>2221</v>
      </c>
      <c r="E782" t="s">
        <v>2222</v>
      </c>
    </row>
    <row r="783" spans="1:5" x14ac:dyDescent="0.3">
      <c r="A783">
        <v>782</v>
      </c>
      <c r="B783" t="s">
        <v>2223</v>
      </c>
      <c r="C783" t="s">
        <v>29</v>
      </c>
      <c r="D783" t="s">
        <v>2224</v>
      </c>
      <c r="E783" t="s">
        <v>2225</v>
      </c>
    </row>
    <row r="784" spans="1:5" x14ac:dyDescent="0.3">
      <c r="A784">
        <v>783</v>
      </c>
      <c r="B784" t="s">
        <v>2226</v>
      </c>
      <c r="C784" t="s">
        <v>29</v>
      </c>
      <c r="D784" t="s">
        <v>2227</v>
      </c>
      <c r="E784" t="s">
        <v>2228</v>
      </c>
    </row>
    <row r="785" spans="1:5" x14ac:dyDescent="0.3">
      <c r="A785">
        <v>784</v>
      </c>
      <c r="B785" t="s">
        <v>2229</v>
      </c>
      <c r="C785" t="s">
        <v>6</v>
      </c>
      <c r="D785" t="s">
        <v>2230</v>
      </c>
      <c r="E785" t="s">
        <v>2231</v>
      </c>
    </row>
    <row r="786" spans="1:5" x14ac:dyDescent="0.3">
      <c r="A786">
        <v>785</v>
      </c>
      <c r="B786" t="s">
        <v>2232</v>
      </c>
      <c r="C786" t="s">
        <v>29</v>
      </c>
      <c r="D786" t="s">
        <v>2233</v>
      </c>
      <c r="E786" t="s">
        <v>2234</v>
      </c>
    </row>
    <row r="787" spans="1:5" x14ac:dyDescent="0.3">
      <c r="A787">
        <v>786</v>
      </c>
      <c r="B787" t="s">
        <v>2235</v>
      </c>
      <c r="C787" t="s">
        <v>6</v>
      </c>
      <c r="D787" t="s">
        <v>2236</v>
      </c>
      <c r="E787" t="s">
        <v>2237</v>
      </c>
    </row>
    <row r="788" spans="1:5" x14ac:dyDescent="0.3">
      <c r="A788">
        <v>787</v>
      </c>
      <c r="B788" t="s">
        <v>2238</v>
      </c>
      <c r="C788" t="s">
        <v>14</v>
      </c>
      <c r="D788" t="s">
        <v>1462</v>
      </c>
      <c r="E788" t="s">
        <v>2239</v>
      </c>
    </row>
    <row r="789" spans="1:5" x14ac:dyDescent="0.3">
      <c r="A789">
        <v>788</v>
      </c>
      <c r="B789" t="s">
        <v>2240</v>
      </c>
      <c r="C789" t="s">
        <v>14</v>
      </c>
      <c r="D789" t="s">
        <v>2241</v>
      </c>
      <c r="E789" t="s">
        <v>2242</v>
      </c>
    </row>
    <row r="790" spans="1:5" x14ac:dyDescent="0.3">
      <c r="A790">
        <v>789</v>
      </c>
      <c r="B790" t="s">
        <v>2243</v>
      </c>
      <c r="C790" t="s">
        <v>14</v>
      </c>
      <c r="D790" t="s">
        <v>2244</v>
      </c>
      <c r="E790" t="s">
        <v>2245</v>
      </c>
    </row>
    <row r="791" spans="1:5" x14ac:dyDescent="0.3">
      <c r="A791">
        <v>790</v>
      </c>
      <c r="B791" t="s">
        <v>2246</v>
      </c>
      <c r="C791" t="s">
        <v>29</v>
      </c>
      <c r="D791" t="s">
        <v>2247</v>
      </c>
      <c r="E791" t="s">
        <v>2248</v>
      </c>
    </row>
    <row r="792" spans="1:5" x14ac:dyDescent="0.3">
      <c r="A792">
        <v>791</v>
      </c>
      <c r="B792" t="s">
        <v>2249</v>
      </c>
      <c r="C792" t="s">
        <v>29</v>
      </c>
      <c r="D792" t="s">
        <v>2250</v>
      </c>
      <c r="E792" t="s">
        <v>2251</v>
      </c>
    </row>
    <row r="793" spans="1:5" x14ac:dyDescent="0.3">
      <c r="A793">
        <v>792</v>
      </c>
      <c r="B793" t="s">
        <v>2252</v>
      </c>
      <c r="C793" t="s">
        <v>6</v>
      </c>
      <c r="D793" t="s">
        <v>2253</v>
      </c>
      <c r="E793" t="s">
        <v>2254</v>
      </c>
    </row>
    <row r="794" spans="1:5" x14ac:dyDescent="0.3">
      <c r="A794">
        <v>793</v>
      </c>
      <c r="B794" t="s">
        <v>2255</v>
      </c>
      <c r="C794" t="s">
        <v>29</v>
      </c>
      <c r="D794" t="s">
        <v>2256</v>
      </c>
      <c r="E794" t="s">
        <v>2257</v>
      </c>
    </row>
    <row r="795" spans="1:5" x14ac:dyDescent="0.3">
      <c r="A795">
        <v>794</v>
      </c>
      <c r="B795" t="s">
        <v>2258</v>
      </c>
      <c r="C795" t="s">
        <v>10</v>
      </c>
      <c r="D795" t="s">
        <v>2259</v>
      </c>
      <c r="E795" t="s">
        <v>2260</v>
      </c>
    </row>
    <row r="796" spans="1:5" x14ac:dyDescent="0.3">
      <c r="A796">
        <v>795</v>
      </c>
      <c r="B796" t="s">
        <v>2261</v>
      </c>
      <c r="C796" t="s">
        <v>29</v>
      </c>
      <c r="D796" t="s">
        <v>2262</v>
      </c>
      <c r="E796">
        <f>1-968-871-4930</f>
        <v>-6768</v>
      </c>
    </row>
    <row r="797" spans="1:5" x14ac:dyDescent="0.3">
      <c r="A797">
        <v>796</v>
      </c>
      <c r="B797" t="s">
        <v>2263</v>
      </c>
      <c r="C797" t="s">
        <v>14</v>
      </c>
      <c r="D797" t="s">
        <v>2264</v>
      </c>
      <c r="E797" t="s">
        <v>2265</v>
      </c>
    </row>
    <row r="798" spans="1:5" x14ac:dyDescent="0.3">
      <c r="A798">
        <v>797</v>
      </c>
      <c r="B798" t="s">
        <v>2266</v>
      </c>
      <c r="C798" t="s">
        <v>29</v>
      </c>
      <c r="D798" t="s">
        <v>2267</v>
      </c>
      <c r="E798" t="s">
        <v>2268</v>
      </c>
    </row>
    <row r="799" spans="1:5" x14ac:dyDescent="0.3">
      <c r="A799">
        <v>798</v>
      </c>
      <c r="B799" t="s">
        <v>2269</v>
      </c>
      <c r="C799" t="s">
        <v>10</v>
      </c>
      <c r="D799" t="s">
        <v>2270</v>
      </c>
      <c r="E799" t="s">
        <v>2271</v>
      </c>
    </row>
    <row r="800" spans="1:5" x14ac:dyDescent="0.3">
      <c r="A800">
        <v>799</v>
      </c>
      <c r="B800" t="s">
        <v>2272</v>
      </c>
      <c r="C800" t="s">
        <v>29</v>
      </c>
      <c r="D800" t="s">
        <v>2273</v>
      </c>
      <c r="E800" t="s">
        <v>2274</v>
      </c>
    </row>
    <row r="801" spans="1:5" x14ac:dyDescent="0.3">
      <c r="A801">
        <v>800</v>
      </c>
      <c r="B801" t="s">
        <v>2275</v>
      </c>
      <c r="C801" t="s">
        <v>10</v>
      </c>
      <c r="D801" t="s">
        <v>2276</v>
      </c>
      <c r="E801" t="s">
        <v>2277</v>
      </c>
    </row>
    <row r="802" spans="1:5" x14ac:dyDescent="0.3">
      <c r="A802">
        <v>801</v>
      </c>
      <c r="B802" t="s">
        <v>2278</v>
      </c>
      <c r="C802" t="s">
        <v>6</v>
      </c>
      <c r="D802" t="s">
        <v>2279</v>
      </c>
      <c r="E802" t="s">
        <v>2280</v>
      </c>
    </row>
    <row r="803" spans="1:5" x14ac:dyDescent="0.3">
      <c r="A803">
        <v>802</v>
      </c>
      <c r="B803" t="s">
        <v>2281</v>
      </c>
      <c r="C803" t="s">
        <v>29</v>
      </c>
      <c r="D803" t="s">
        <v>611</v>
      </c>
      <c r="E803" t="s">
        <v>2282</v>
      </c>
    </row>
    <row r="804" spans="1:5" x14ac:dyDescent="0.3">
      <c r="A804">
        <v>803</v>
      </c>
      <c r="B804" t="s">
        <v>2283</v>
      </c>
      <c r="C804" t="s">
        <v>6</v>
      </c>
      <c r="D804" t="s">
        <v>2284</v>
      </c>
      <c r="E804">
        <v>8127825617</v>
      </c>
    </row>
    <row r="805" spans="1:5" x14ac:dyDescent="0.3">
      <c r="A805">
        <v>804</v>
      </c>
      <c r="B805" t="s">
        <v>2285</v>
      </c>
      <c r="C805" t="s">
        <v>14</v>
      </c>
      <c r="D805" t="s">
        <v>2286</v>
      </c>
      <c r="E805">
        <v>7711350025</v>
      </c>
    </row>
    <row r="806" spans="1:5" x14ac:dyDescent="0.3">
      <c r="A806">
        <v>805</v>
      </c>
      <c r="B806" t="s">
        <v>2287</v>
      </c>
      <c r="C806" t="s">
        <v>10</v>
      </c>
      <c r="D806" t="s">
        <v>2288</v>
      </c>
      <c r="E806" t="s">
        <v>2289</v>
      </c>
    </row>
    <row r="807" spans="1:5" x14ac:dyDescent="0.3">
      <c r="A807">
        <v>806</v>
      </c>
      <c r="B807" t="s">
        <v>2290</v>
      </c>
      <c r="C807" t="s">
        <v>14</v>
      </c>
      <c r="D807" t="s">
        <v>2291</v>
      </c>
      <c r="E807" t="s">
        <v>2292</v>
      </c>
    </row>
    <row r="808" spans="1:5" x14ac:dyDescent="0.3">
      <c r="A808">
        <v>807</v>
      </c>
      <c r="B808" t="s">
        <v>2293</v>
      </c>
      <c r="C808" t="s">
        <v>14</v>
      </c>
      <c r="D808" t="s">
        <v>2294</v>
      </c>
      <c r="E808" t="s">
        <v>2295</v>
      </c>
    </row>
    <row r="809" spans="1:5" x14ac:dyDescent="0.3">
      <c r="A809">
        <v>808</v>
      </c>
      <c r="B809" t="s">
        <v>2296</v>
      </c>
      <c r="C809" t="s">
        <v>10</v>
      </c>
      <c r="D809" t="s">
        <v>2297</v>
      </c>
      <c r="E809" t="s">
        <v>2298</v>
      </c>
    </row>
    <row r="810" spans="1:5" x14ac:dyDescent="0.3">
      <c r="A810">
        <v>809</v>
      </c>
      <c r="B810" t="s">
        <v>2299</v>
      </c>
      <c r="C810" t="s">
        <v>10</v>
      </c>
      <c r="D810" t="s">
        <v>2300</v>
      </c>
      <c r="E810" t="s">
        <v>2301</v>
      </c>
    </row>
    <row r="811" spans="1:5" x14ac:dyDescent="0.3">
      <c r="A811">
        <v>810</v>
      </c>
      <c r="B811" t="s">
        <v>2302</v>
      </c>
      <c r="C811" t="s">
        <v>14</v>
      </c>
      <c r="D811" t="s">
        <v>2303</v>
      </c>
      <c r="E811" t="s">
        <v>2304</v>
      </c>
    </row>
    <row r="812" spans="1:5" x14ac:dyDescent="0.3">
      <c r="A812">
        <v>811</v>
      </c>
      <c r="B812" t="s">
        <v>2305</v>
      </c>
      <c r="C812" t="s">
        <v>6</v>
      </c>
      <c r="D812" t="s">
        <v>1891</v>
      </c>
      <c r="E812" t="s">
        <v>2306</v>
      </c>
    </row>
    <row r="813" spans="1:5" x14ac:dyDescent="0.3">
      <c r="A813">
        <v>812</v>
      </c>
      <c r="B813" t="s">
        <v>2307</v>
      </c>
      <c r="C813" t="s">
        <v>10</v>
      </c>
      <c r="D813" t="s">
        <v>2308</v>
      </c>
      <c r="E813" t="s">
        <v>2309</v>
      </c>
    </row>
    <row r="814" spans="1:5" x14ac:dyDescent="0.3">
      <c r="A814">
        <v>813</v>
      </c>
      <c r="B814" t="s">
        <v>2310</v>
      </c>
      <c r="C814" t="s">
        <v>10</v>
      </c>
      <c r="D814" t="s">
        <v>2311</v>
      </c>
      <c r="E814" t="s">
        <v>2312</v>
      </c>
    </row>
    <row r="815" spans="1:5" x14ac:dyDescent="0.3">
      <c r="A815">
        <v>814</v>
      </c>
      <c r="B815" t="s">
        <v>2313</v>
      </c>
      <c r="C815" t="s">
        <v>14</v>
      </c>
      <c r="D815" t="s">
        <v>2314</v>
      </c>
      <c r="E815" t="s">
        <v>2315</v>
      </c>
    </row>
    <row r="816" spans="1:5" x14ac:dyDescent="0.3">
      <c r="A816">
        <v>815</v>
      </c>
      <c r="B816" t="s">
        <v>2290</v>
      </c>
      <c r="C816" t="s">
        <v>14</v>
      </c>
      <c r="D816" t="s">
        <v>2316</v>
      </c>
      <c r="E816" t="s">
        <v>2317</v>
      </c>
    </row>
    <row r="817" spans="1:5" x14ac:dyDescent="0.3">
      <c r="A817">
        <v>816</v>
      </c>
      <c r="B817" t="s">
        <v>2318</v>
      </c>
      <c r="C817" t="s">
        <v>29</v>
      </c>
      <c r="D817" t="s">
        <v>2319</v>
      </c>
      <c r="E817" t="s">
        <v>2320</v>
      </c>
    </row>
    <row r="818" spans="1:5" x14ac:dyDescent="0.3">
      <c r="A818">
        <v>817</v>
      </c>
      <c r="B818" t="s">
        <v>2321</v>
      </c>
      <c r="C818" t="s">
        <v>29</v>
      </c>
      <c r="D818" t="s">
        <v>2322</v>
      </c>
      <c r="E818" t="s">
        <v>2323</v>
      </c>
    </row>
    <row r="819" spans="1:5" x14ac:dyDescent="0.3">
      <c r="A819">
        <v>818</v>
      </c>
      <c r="B819" t="s">
        <v>2324</v>
      </c>
      <c r="C819" t="s">
        <v>14</v>
      </c>
      <c r="D819" t="s">
        <v>2325</v>
      </c>
      <c r="E819">
        <v>1310927379</v>
      </c>
    </row>
    <row r="820" spans="1:5" x14ac:dyDescent="0.3">
      <c r="A820">
        <v>819</v>
      </c>
      <c r="B820" t="s">
        <v>2326</v>
      </c>
      <c r="C820" t="s">
        <v>6</v>
      </c>
      <c r="D820" t="s">
        <v>2327</v>
      </c>
      <c r="E820" t="s">
        <v>2328</v>
      </c>
    </row>
    <row r="821" spans="1:5" x14ac:dyDescent="0.3">
      <c r="A821">
        <v>820</v>
      </c>
      <c r="B821" t="s">
        <v>2329</v>
      </c>
      <c r="C821" t="s">
        <v>10</v>
      </c>
      <c r="D821" t="s">
        <v>2330</v>
      </c>
      <c r="E821" t="s">
        <v>2331</v>
      </c>
    </row>
    <row r="822" spans="1:5" x14ac:dyDescent="0.3">
      <c r="A822">
        <v>821</v>
      </c>
      <c r="B822" t="s">
        <v>2332</v>
      </c>
      <c r="C822" t="s">
        <v>29</v>
      </c>
      <c r="D822" t="s">
        <v>2333</v>
      </c>
      <c r="E822" t="s">
        <v>2334</v>
      </c>
    </row>
    <row r="823" spans="1:5" x14ac:dyDescent="0.3">
      <c r="A823">
        <v>822</v>
      </c>
      <c r="B823" t="s">
        <v>2335</v>
      </c>
      <c r="C823" t="s">
        <v>6</v>
      </c>
      <c r="D823" t="s">
        <v>2336</v>
      </c>
      <c r="E823" t="s">
        <v>2337</v>
      </c>
    </row>
    <row r="824" spans="1:5" x14ac:dyDescent="0.3">
      <c r="A824">
        <v>823</v>
      </c>
      <c r="B824" t="s">
        <v>2338</v>
      </c>
      <c r="C824" t="s">
        <v>6</v>
      </c>
      <c r="D824" t="s">
        <v>2339</v>
      </c>
      <c r="E824" t="s">
        <v>2340</v>
      </c>
    </row>
    <row r="825" spans="1:5" x14ac:dyDescent="0.3">
      <c r="A825">
        <v>824</v>
      </c>
      <c r="B825" t="s">
        <v>2341</v>
      </c>
      <c r="C825" t="s">
        <v>6</v>
      </c>
      <c r="D825" t="s">
        <v>2342</v>
      </c>
      <c r="E825" t="s">
        <v>2343</v>
      </c>
    </row>
    <row r="826" spans="1:5" x14ac:dyDescent="0.3">
      <c r="A826">
        <v>825</v>
      </c>
      <c r="B826" t="s">
        <v>2344</v>
      </c>
      <c r="C826" t="s">
        <v>29</v>
      </c>
      <c r="D826" t="s">
        <v>2345</v>
      </c>
      <c r="E826" t="s">
        <v>2346</v>
      </c>
    </row>
    <row r="827" spans="1:5" x14ac:dyDescent="0.3">
      <c r="A827">
        <v>826</v>
      </c>
      <c r="B827" t="s">
        <v>2347</v>
      </c>
      <c r="C827" t="s">
        <v>10</v>
      </c>
      <c r="D827" t="s">
        <v>2348</v>
      </c>
      <c r="E827" t="s">
        <v>2349</v>
      </c>
    </row>
    <row r="828" spans="1:5" x14ac:dyDescent="0.3">
      <c r="A828">
        <v>827</v>
      </c>
      <c r="B828" t="s">
        <v>2350</v>
      </c>
      <c r="C828" t="s">
        <v>14</v>
      </c>
      <c r="D828" t="s">
        <v>2351</v>
      </c>
      <c r="E828" t="s">
        <v>2352</v>
      </c>
    </row>
    <row r="829" spans="1:5" x14ac:dyDescent="0.3">
      <c r="A829">
        <v>828</v>
      </c>
      <c r="B829" t="s">
        <v>2353</v>
      </c>
      <c r="C829" t="s">
        <v>6</v>
      </c>
      <c r="D829" t="s">
        <v>2354</v>
      </c>
      <c r="E829" t="s">
        <v>2355</v>
      </c>
    </row>
    <row r="830" spans="1:5" x14ac:dyDescent="0.3">
      <c r="A830">
        <v>829</v>
      </c>
      <c r="B830" t="s">
        <v>2356</v>
      </c>
      <c r="C830" t="s">
        <v>29</v>
      </c>
      <c r="D830" t="s">
        <v>2357</v>
      </c>
      <c r="E830" t="s">
        <v>2358</v>
      </c>
    </row>
    <row r="831" spans="1:5" x14ac:dyDescent="0.3">
      <c r="A831">
        <v>830</v>
      </c>
      <c r="B831" t="s">
        <v>2359</v>
      </c>
      <c r="C831" t="s">
        <v>6</v>
      </c>
      <c r="D831" t="s">
        <v>2360</v>
      </c>
      <c r="E831" t="s">
        <v>2361</v>
      </c>
    </row>
    <row r="832" spans="1:5" x14ac:dyDescent="0.3">
      <c r="A832">
        <v>831</v>
      </c>
      <c r="B832" t="s">
        <v>2362</v>
      </c>
      <c r="C832" t="s">
        <v>10</v>
      </c>
      <c r="D832" t="s">
        <v>2363</v>
      </c>
      <c r="E832" t="s">
        <v>2364</v>
      </c>
    </row>
    <row r="833" spans="1:5" x14ac:dyDescent="0.3">
      <c r="A833">
        <v>832</v>
      </c>
      <c r="B833" t="s">
        <v>2365</v>
      </c>
      <c r="C833" t="s">
        <v>6</v>
      </c>
      <c r="D833" t="s">
        <v>2366</v>
      </c>
      <c r="E833">
        <v>9131186244</v>
      </c>
    </row>
    <row r="834" spans="1:5" x14ac:dyDescent="0.3">
      <c r="A834">
        <v>833</v>
      </c>
      <c r="B834" t="s">
        <v>343</v>
      </c>
      <c r="C834" t="s">
        <v>6</v>
      </c>
      <c r="D834" t="s">
        <v>2367</v>
      </c>
      <c r="E834" t="s">
        <v>2368</v>
      </c>
    </row>
    <row r="835" spans="1:5" x14ac:dyDescent="0.3">
      <c r="A835">
        <v>834</v>
      </c>
      <c r="B835" t="s">
        <v>2369</v>
      </c>
      <c r="C835" t="s">
        <v>10</v>
      </c>
      <c r="D835" t="s">
        <v>2054</v>
      </c>
      <c r="E835" t="s">
        <v>2370</v>
      </c>
    </row>
    <row r="836" spans="1:5" x14ac:dyDescent="0.3">
      <c r="A836">
        <v>835</v>
      </c>
      <c r="B836" t="s">
        <v>2371</v>
      </c>
      <c r="C836" t="s">
        <v>6</v>
      </c>
      <c r="D836" t="s">
        <v>2372</v>
      </c>
      <c r="E836" t="s">
        <v>2373</v>
      </c>
    </row>
    <row r="837" spans="1:5" x14ac:dyDescent="0.3">
      <c r="A837">
        <v>836</v>
      </c>
      <c r="B837" t="s">
        <v>2374</v>
      </c>
      <c r="C837" t="s">
        <v>6</v>
      </c>
      <c r="D837" t="s">
        <v>2375</v>
      </c>
      <c r="E837" t="s">
        <v>2376</v>
      </c>
    </row>
    <row r="838" spans="1:5" x14ac:dyDescent="0.3">
      <c r="A838">
        <v>837</v>
      </c>
      <c r="B838" t="s">
        <v>2377</v>
      </c>
      <c r="C838" t="s">
        <v>6</v>
      </c>
      <c r="D838" t="s">
        <v>2378</v>
      </c>
      <c r="E838">
        <v>1072168815</v>
      </c>
    </row>
    <row r="839" spans="1:5" x14ac:dyDescent="0.3">
      <c r="A839">
        <v>838</v>
      </c>
      <c r="B839" t="s">
        <v>2379</v>
      </c>
      <c r="C839" t="s">
        <v>29</v>
      </c>
      <c r="D839" t="s">
        <v>2380</v>
      </c>
      <c r="E839" t="s">
        <v>2381</v>
      </c>
    </row>
    <row r="840" spans="1:5" x14ac:dyDescent="0.3">
      <c r="A840">
        <v>839</v>
      </c>
      <c r="B840" t="s">
        <v>2382</v>
      </c>
      <c r="C840" t="s">
        <v>14</v>
      </c>
      <c r="D840" t="s">
        <v>2383</v>
      </c>
      <c r="E840" t="s">
        <v>2384</v>
      </c>
    </row>
    <row r="841" spans="1:5" x14ac:dyDescent="0.3">
      <c r="A841">
        <v>840</v>
      </c>
      <c r="B841" t="s">
        <v>2385</v>
      </c>
      <c r="C841" t="s">
        <v>6</v>
      </c>
      <c r="D841" t="s">
        <v>2386</v>
      </c>
      <c r="E841" t="s">
        <v>2387</v>
      </c>
    </row>
    <row r="842" spans="1:5" x14ac:dyDescent="0.3">
      <c r="A842">
        <v>841</v>
      </c>
      <c r="B842" t="s">
        <v>2388</v>
      </c>
      <c r="C842" t="s">
        <v>14</v>
      </c>
      <c r="D842" t="s">
        <v>2389</v>
      </c>
      <c r="E842" t="s">
        <v>2390</v>
      </c>
    </row>
    <row r="843" spans="1:5" x14ac:dyDescent="0.3">
      <c r="A843">
        <v>842</v>
      </c>
      <c r="B843" t="s">
        <v>2391</v>
      </c>
      <c r="C843" t="s">
        <v>6</v>
      </c>
      <c r="D843" t="s">
        <v>2392</v>
      </c>
      <c r="E843" t="s">
        <v>2393</v>
      </c>
    </row>
    <row r="844" spans="1:5" x14ac:dyDescent="0.3">
      <c r="A844">
        <v>843</v>
      </c>
      <c r="B844" t="s">
        <v>2394</v>
      </c>
      <c r="C844" t="s">
        <v>29</v>
      </c>
      <c r="D844" t="s">
        <v>2395</v>
      </c>
      <c r="E844" t="s">
        <v>2396</v>
      </c>
    </row>
    <row r="845" spans="1:5" x14ac:dyDescent="0.3">
      <c r="A845">
        <v>844</v>
      </c>
      <c r="B845" t="s">
        <v>2397</v>
      </c>
      <c r="C845" t="s">
        <v>10</v>
      </c>
      <c r="D845" t="s">
        <v>2398</v>
      </c>
      <c r="E845" t="s">
        <v>2399</v>
      </c>
    </row>
    <row r="846" spans="1:5" x14ac:dyDescent="0.3">
      <c r="A846">
        <v>845</v>
      </c>
      <c r="B846" t="s">
        <v>2400</v>
      </c>
      <c r="C846" t="s">
        <v>14</v>
      </c>
      <c r="D846" t="s">
        <v>2401</v>
      </c>
      <c r="E846" t="s">
        <v>2402</v>
      </c>
    </row>
    <row r="847" spans="1:5" x14ac:dyDescent="0.3">
      <c r="A847">
        <v>846</v>
      </c>
      <c r="B847" t="s">
        <v>2403</v>
      </c>
      <c r="C847" t="s">
        <v>14</v>
      </c>
      <c r="D847" t="s">
        <v>2404</v>
      </c>
      <c r="E847" t="s">
        <v>2405</v>
      </c>
    </row>
    <row r="848" spans="1:5" x14ac:dyDescent="0.3">
      <c r="A848">
        <v>847</v>
      </c>
      <c r="B848" t="s">
        <v>2406</v>
      </c>
      <c r="C848" t="s">
        <v>6</v>
      </c>
      <c r="D848" t="s">
        <v>2407</v>
      </c>
      <c r="E848" t="s">
        <v>2408</v>
      </c>
    </row>
    <row r="849" spans="1:5" x14ac:dyDescent="0.3">
      <c r="A849">
        <v>848</v>
      </c>
      <c r="B849" t="s">
        <v>2409</v>
      </c>
      <c r="C849" t="s">
        <v>10</v>
      </c>
      <c r="D849" t="s">
        <v>2410</v>
      </c>
      <c r="E849" t="s">
        <v>2411</v>
      </c>
    </row>
    <row r="850" spans="1:5" x14ac:dyDescent="0.3">
      <c r="A850">
        <v>849</v>
      </c>
      <c r="B850" t="s">
        <v>2412</v>
      </c>
      <c r="C850" t="s">
        <v>6</v>
      </c>
      <c r="D850" t="s">
        <v>2413</v>
      </c>
      <c r="E850" t="s">
        <v>2414</v>
      </c>
    </row>
    <row r="851" spans="1:5" x14ac:dyDescent="0.3">
      <c r="A851">
        <v>850</v>
      </c>
      <c r="B851" t="s">
        <v>2415</v>
      </c>
      <c r="C851" t="s">
        <v>10</v>
      </c>
      <c r="D851" t="s">
        <v>2416</v>
      </c>
      <c r="E851" t="s">
        <v>2417</v>
      </c>
    </row>
    <row r="852" spans="1:5" x14ac:dyDescent="0.3">
      <c r="A852">
        <v>851</v>
      </c>
      <c r="B852" t="s">
        <v>2418</v>
      </c>
      <c r="C852" t="s">
        <v>14</v>
      </c>
      <c r="D852" t="s">
        <v>2419</v>
      </c>
      <c r="E852" t="s">
        <v>2420</v>
      </c>
    </row>
    <row r="853" spans="1:5" x14ac:dyDescent="0.3">
      <c r="A853">
        <v>852</v>
      </c>
      <c r="B853" t="s">
        <v>2421</v>
      </c>
      <c r="C853" t="s">
        <v>29</v>
      </c>
      <c r="D853" t="s">
        <v>2422</v>
      </c>
      <c r="E853" t="s">
        <v>2423</v>
      </c>
    </row>
    <row r="854" spans="1:5" x14ac:dyDescent="0.3">
      <c r="A854">
        <v>853</v>
      </c>
      <c r="B854" t="s">
        <v>2424</v>
      </c>
      <c r="C854" t="s">
        <v>29</v>
      </c>
      <c r="D854" t="s">
        <v>2425</v>
      </c>
      <c r="E854" t="s">
        <v>2426</v>
      </c>
    </row>
    <row r="855" spans="1:5" x14ac:dyDescent="0.3">
      <c r="A855">
        <v>854</v>
      </c>
      <c r="B855" t="s">
        <v>2427</v>
      </c>
      <c r="C855" t="s">
        <v>10</v>
      </c>
      <c r="D855" t="s">
        <v>2428</v>
      </c>
      <c r="E855" t="s">
        <v>2429</v>
      </c>
    </row>
    <row r="856" spans="1:5" x14ac:dyDescent="0.3">
      <c r="A856">
        <v>855</v>
      </c>
      <c r="B856" t="s">
        <v>2430</v>
      </c>
      <c r="C856" t="s">
        <v>14</v>
      </c>
      <c r="D856" t="s">
        <v>2431</v>
      </c>
      <c r="E856" t="s">
        <v>2432</v>
      </c>
    </row>
    <row r="857" spans="1:5" x14ac:dyDescent="0.3">
      <c r="A857">
        <v>856</v>
      </c>
      <c r="B857" t="s">
        <v>2433</v>
      </c>
      <c r="C857" t="s">
        <v>10</v>
      </c>
      <c r="D857" t="s">
        <v>2434</v>
      </c>
      <c r="E857" t="s">
        <v>2435</v>
      </c>
    </row>
    <row r="858" spans="1:5" x14ac:dyDescent="0.3">
      <c r="A858">
        <v>857</v>
      </c>
      <c r="B858" t="s">
        <v>2436</v>
      </c>
      <c r="C858" t="s">
        <v>10</v>
      </c>
      <c r="D858" t="s">
        <v>2437</v>
      </c>
      <c r="E858" t="s">
        <v>2438</v>
      </c>
    </row>
    <row r="859" spans="1:5" x14ac:dyDescent="0.3">
      <c r="A859">
        <v>858</v>
      </c>
      <c r="B859" t="s">
        <v>2439</v>
      </c>
      <c r="C859" t="s">
        <v>10</v>
      </c>
      <c r="D859" t="s">
        <v>2440</v>
      </c>
      <c r="E859" t="s">
        <v>2441</v>
      </c>
    </row>
    <row r="860" spans="1:5" x14ac:dyDescent="0.3">
      <c r="A860">
        <v>859</v>
      </c>
      <c r="B860" t="s">
        <v>2442</v>
      </c>
      <c r="C860" t="s">
        <v>29</v>
      </c>
      <c r="D860" t="s">
        <v>2443</v>
      </c>
      <c r="E860">
        <v>5259995693</v>
      </c>
    </row>
    <row r="861" spans="1:5" x14ac:dyDescent="0.3">
      <c r="A861">
        <v>860</v>
      </c>
      <c r="B861" t="s">
        <v>2444</v>
      </c>
      <c r="C861" t="s">
        <v>29</v>
      </c>
      <c r="D861" t="s">
        <v>2445</v>
      </c>
      <c r="E861" t="s">
        <v>2446</v>
      </c>
    </row>
    <row r="862" spans="1:5" x14ac:dyDescent="0.3">
      <c r="A862">
        <v>861</v>
      </c>
      <c r="B862" t="s">
        <v>2447</v>
      </c>
      <c r="C862" t="s">
        <v>14</v>
      </c>
      <c r="D862" t="s">
        <v>2448</v>
      </c>
      <c r="E862" t="s">
        <v>2449</v>
      </c>
    </row>
    <row r="863" spans="1:5" x14ac:dyDescent="0.3">
      <c r="A863">
        <v>862</v>
      </c>
      <c r="B863" t="s">
        <v>2450</v>
      </c>
      <c r="C863" t="s">
        <v>10</v>
      </c>
      <c r="D863" t="s">
        <v>2451</v>
      </c>
      <c r="E863" t="s">
        <v>2452</v>
      </c>
    </row>
    <row r="864" spans="1:5" x14ac:dyDescent="0.3">
      <c r="A864">
        <v>863</v>
      </c>
      <c r="B864" t="s">
        <v>2453</v>
      </c>
      <c r="C864" t="s">
        <v>10</v>
      </c>
      <c r="D864" t="s">
        <v>2454</v>
      </c>
      <c r="E864" t="s">
        <v>2455</v>
      </c>
    </row>
    <row r="865" spans="1:5" x14ac:dyDescent="0.3">
      <c r="A865">
        <v>864</v>
      </c>
      <c r="B865" t="s">
        <v>2456</v>
      </c>
      <c r="C865" t="s">
        <v>14</v>
      </c>
      <c r="D865" t="s">
        <v>2457</v>
      </c>
      <c r="E865" t="s">
        <v>2458</v>
      </c>
    </row>
    <row r="866" spans="1:5" x14ac:dyDescent="0.3">
      <c r="A866">
        <v>865</v>
      </c>
      <c r="B866" t="s">
        <v>2459</v>
      </c>
      <c r="C866" t="s">
        <v>10</v>
      </c>
      <c r="D866" t="s">
        <v>2460</v>
      </c>
      <c r="E866" t="s">
        <v>2461</v>
      </c>
    </row>
    <row r="867" spans="1:5" x14ac:dyDescent="0.3">
      <c r="A867">
        <v>866</v>
      </c>
      <c r="B867" t="s">
        <v>2462</v>
      </c>
      <c r="C867" t="s">
        <v>6</v>
      </c>
      <c r="D867" t="s">
        <v>2463</v>
      </c>
      <c r="E867" t="s">
        <v>2464</v>
      </c>
    </row>
    <row r="868" spans="1:5" x14ac:dyDescent="0.3">
      <c r="A868">
        <v>867</v>
      </c>
      <c r="B868" t="s">
        <v>2465</v>
      </c>
      <c r="C868" t="s">
        <v>10</v>
      </c>
      <c r="D868" t="s">
        <v>2466</v>
      </c>
      <c r="E868">
        <v>7246108348</v>
      </c>
    </row>
    <row r="869" spans="1:5" x14ac:dyDescent="0.3">
      <c r="A869">
        <v>868</v>
      </c>
      <c r="B869" t="s">
        <v>2467</v>
      </c>
      <c r="C869" t="s">
        <v>6</v>
      </c>
      <c r="D869" t="s">
        <v>2468</v>
      </c>
      <c r="E869" t="s">
        <v>2469</v>
      </c>
    </row>
    <row r="870" spans="1:5" x14ac:dyDescent="0.3">
      <c r="A870">
        <v>869</v>
      </c>
      <c r="B870" t="s">
        <v>2470</v>
      </c>
      <c r="C870" t="s">
        <v>29</v>
      </c>
      <c r="D870" t="s">
        <v>2471</v>
      </c>
      <c r="E870" t="s">
        <v>2472</v>
      </c>
    </row>
    <row r="871" spans="1:5" x14ac:dyDescent="0.3">
      <c r="A871">
        <v>870</v>
      </c>
      <c r="B871" t="s">
        <v>2473</v>
      </c>
      <c r="C871" t="s">
        <v>29</v>
      </c>
      <c r="D871" t="s">
        <v>2474</v>
      </c>
      <c r="E871" t="s">
        <v>2475</v>
      </c>
    </row>
    <row r="872" spans="1:5" x14ac:dyDescent="0.3">
      <c r="A872">
        <v>871</v>
      </c>
      <c r="B872" t="s">
        <v>2476</v>
      </c>
      <c r="C872" t="s">
        <v>10</v>
      </c>
      <c r="D872" t="s">
        <v>2477</v>
      </c>
      <c r="E872">
        <v>3857123680</v>
      </c>
    </row>
    <row r="873" spans="1:5" x14ac:dyDescent="0.3">
      <c r="A873">
        <v>872</v>
      </c>
      <c r="B873" t="s">
        <v>2478</v>
      </c>
      <c r="C873" t="s">
        <v>10</v>
      </c>
      <c r="D873" t="s">
        <v>2479</v>
      </c>
      <c r="E873" t="s">
        <v>2480</v>
      </c>
    </row>
    <row r="874" spans="1:5" x14ac:dyDescent="0.3">
      <c r="A874">
        <v>873</v>
      </c>
      <c r="B874" t="s">
        <v>2481</v>
      </c>
      <c r="C874" t="s">
        <v>29</v>
      </c>
      <c r="D874" t="s">
        <v>2482</v>
      </c>
      <c r="E874" t="s">
        <v>2483</v>
      </c>
    </row>
    <row r="875" spans="1:5" x14ac:dyDescent="0.3">
      <c r="A875">
        <v>874</v>
      </c>
      <c r="B875" t="s">
        <v>2484</v>
      </c>
      <c r="C875" t="s">
        <v>10</v>
      </c>
      <c r="D875" t="s">
        <v>2485</v>
      </c>
      <c r="E875" t="s">
        <v>2486</v>
      </c>
    </row>
    <row r="876" spans="1:5" x14ac:dyDescent="0.3">
      <c r="A876">
        <v>875</v>
      </c>
      <c r="B876" t="s">
        <v>2487</v>
      </c>
      <c r="C876" t="s">
        <v>10</v>
      </c>
      <c r="D876" t="s">
        <v>2488</v>
      </c>
      <c r="E876" t="s">
        <v>2489</v>
      </c>
    </row>
    <row r="877" spans="1:5" x14ac:dyDescent="0.3">
      <c r="A877">
        <v>876</v>
      </c>
      <c r="B877" t="s">
        <v>2490</v>
      </c>
      <c r="C877" t="s">
        <v>14</v>
      </c>
      <c r="D877" t="s">
        <v>2491</v>
      </c>
      <c r="E877" t="s">
        <v>2492</v>
      </c>
    </row>
    <row r="878" spans="1:5" x14ac:dyDescent="0.3">
      <c r="A878">
        <v>877</v>
      </c>
      <c r="B878" t="s">
        <v>2493</v>
      </c>
      <c r="C878" t="s">
        <v>6</v>
      </c>
      <c r="D878" t="s">
        <v>2494</v>
      </c>
      <c r="E878" t="s">
        <v>2495</v>
      </c>
    </row>
    <row r="879" spans="1:5" x14ac:dyDescent="0.3">
      <c r="A879">
        <v>878</v>
      </c>
      <c r="B879" t="s">
        <v>2496</v>
      </c>
      <c r="C879" t="s">
        <v>14</v>
      </c>
      <c r="D879" t="s">
        <v>2497</v>
      </c>
      <c r="E879" t="s">
        <v>2498</v>
      </c>
    </row>
    <row r="880" spans="1:5" x14ac:dyDescent="0.3">
      <c r="A880">
        <v>879</v>
      </c>
      <c r="B880" t="s">
        <v>2499</v>
      </c>
      <c r="C880" t="s">
        <v>29</v>
      </c>
      <c r="D880" t="s">
        <v>2500</v>
      </c>
      <c r="E880" t="s">
        <v>2501</v>
      </c>
    </row>
    <row r="881" spans="1:5" x14ac:dyDescent="0.3">
      <c r="A881">
        <v>880</v>
      </c>
      <c r="B881" t="s">
        <v>2502</v>
      </c>
      <c r="C881" t="s">
        <v>6</v>
      </c>
      <c r="D881" t="s">
        <v>2503</v>
      </c>
      <c r="E881" t="s">
        <v>2504</v>
      </c>
    </row>
    <row r="882" spans="1:5" x14ac:dyDescent="0.3">
      <c r="A882">
        <v>881</v>
      </c>
      <c r="B882" t="s">
        <v>2505</v>
      </c>
      <c r="C882" t="s">
        <v>14</v>
      </c>
      <c r="D882" t="s">
        <v>2506</v>
      </c>
      <c r="E882" t="s">
        <v>2507</v>
      </c>
    </row>
    <row r="883" spans="1:5" x14ac:dyDescent="0.3">
      <c r="A883">
        <v>882</v>
      </c>
      <c r="B883" t="s">
        <v>2508</v>
      </c>
      <c r="C883" t="s">
        <v>6</v>
      </c>
      <c r="D883" t="s">
        <v>2509</v>
      </c>
      <c r="E883" t="s">
        <v>2510</v>
      </c>
    </row>
    <row r="884" spans="1:5" x14ac:dyDescent="0.3">
      <c r="A884">
        <v>883</v>
      </c>
      <c r="B884" t="s">
        <v>2511</v>
      </c>
      <c r="C884" t="s">
        <v>14</v>
      </c>
      <c r="D884" t="s">
        <v>2512</v>
      </c>
      <c r="E884" t="s">
        <v>2513</v>
      </c>
    </row>
    <row r="885" spans="1:5" x14ac:dyDescent="0.3">
      <c r="A885">
        <v>884</v>
      </c>
      <c r="B885" t="s">
        <v>2514</v>
      </c>
      <c r="C885" t="s">
        <v>6</v>
      </c>
      <c r="D885" t="s">
        <v>2515</v>
      </c>
      <c r="E885" t="s">
        <v>2516</v>
      </c>
    </row>
    <row r="886" spans="1:5" x14ac:dyDescent="0.3">
      <c r="A886">
        <v>885</v>
      </c>
      <c r="B886" t="s">
        <v>2517</v>
      </c>
      <c r="C886" t="s">
        <v>10</v>
      </c>
      <c r="D886" t="s">
        <v>2518</v>
      </c>
      <c r="E886" t="s">
        <v>2519</v>
      </c>
    </row>
    <row r="887" spans="1:5" x14ac:dyDescent="0.3">
      <c r="A887">
        <v>886</v>
      </c>
      <c r="B887" t="s">
        <v>2520</v>
      </c>
      <c r="C887" t="s">
        <v>6</v>
      </c>
      <c r="D887" t="s">
        <v>2521</v>
      </c>
      <c r="E887" t="s">
        <v>2522</v>
      </c>
    </row>
    <row r="888" spans="1:5" x14ac:dyDescent="0.3">
      <c r="A888">
        <v>887</v>
      </c>
      <c r="B888" t="s">
        <v>2523</v>
      </c>
      <c r="C888" t="s">
        <v>6</v>
      </c>
      <c r="D888" t="s">
        <v>2524</v>
      </c>
      <c r="E888" t="s">
        <v>2525</v>
      </c>
    </row>
    <row r="889" spans="1:5" x14ac:dyDescent="0.3">
      <c r="A889">
        <v>888</v>
      </c>
      <c r="B889" t="s">
        <v>2526</v>
      </c>
      <c r="C889" t="s">
        <v>29</v>
      </c>
      <c r="D889" t="s">
        <v>2527</v>
      </c>
      <c r="E889">
        <v>1367475533</v>
      </c>
    </row>
    <row r="890" spans="1:5" x14ac:dyDescent="0.3">
      <c r="A890">
        <v>889</v>
      </c>
      <c r="B890" t="s">
        <v>2528</v>
      </c>
      <c r="C890" t="s">
        <v>14</v>
      </c>
      <c r="D890" t="s">
        <v>2529</v>
      </c>
      <c r="E890" t="s">
        <v>2530</v>
      </c>
    </row>
    <row r="891" spans="1:5" x14ac:dyDescent="0.3">
      <c r="A891">
        <v>890</v>
      </c>
      <c r="B891" t="s">
        <v>2531</v>
      </c>
      <c r="C891" t="s">
        <v>14</v>
      </c>
      <c r="D891" t="s">
        <v>2532</v>
      </c>
      <c r="E891" t="s">
        <v>2533</v>
      </c>
    </row>
    <row r="892" spans="1:5" x14ac:dyDescent="0.3">
      <c r="A892">
        <v>891</v>
      </c>
      <c r="B892" t="s">
        <v>2534</v>
      </c>
      <c r="C892" t="s">
        <v>6</v>
      </c>
      <c r="D892" t="s">
        <v>2535</v>
      </c>
      <c r="E892" t="s">
        <v>2536</v>
      </c>
    </row>
    <row r="893" spans="1:5" x14ac:dyDescent="0.3">
      <c r="A893">
        <v>892</v>
      </c>
      <c r="B893" t="s">
        <v>2537</v>
      </c>
      <c r="C893" t="s">
        <v>14</v>
      </c>
      <c r="D893" t="s">
        <v>2538</v>
      </c>
      <c r="E893" t="s">
        <v>2539</v>
      </c>
    </row>
    <row r="894" spans="1:5" x14ac:dyDescent="0.3">
      <c r="A894">
        <v>893</v>
      </c>
      <c r="B894" t="s">
        <v>2540</v>
      </c>
      <c r="C894" t="s">
        <v>29</v>
      </c>
      <c r="D894" t="s">
        <v>2541</v>
      </c>
      <c r="E894" t="s">
        <v>2542</v>
      </c>
    </row>
    <row r="895" spans="1:5" x14ac:dyDescent="0.3">
      <c r="A895">
        <v>894</v>
      </c>
      <c r="B895" t="s">
        <v>2543</v>
      </c>
      <c r="C895" t="s">
        <v>29</v>
      </c>
      <c r="D895" t="s">
        <v>2544</v>
      </c>
      <c r="E895" t="s">
        <v>2545</v>
      </c>
    </row>
    <row r="896" spans="1:5" x14ac:dyDescent="0.3">
      <c r="A896">
        <v>895</v>
      </c>
      <c r="B896" t="s">
        <v>2546</v>
      </c>
      <c r="C896" t="s">
        <v>10</v>
      </c>
      <c r="D896" t="s">
        <v>2547</v>
      </c>
      <c r="E896" t="s">
        <v>2548</v>
      </c>
    </row>
    <row r="897" spans="1:5" x14ac:dyDescent="0.3">
      <c r="A897">
        <v>896</v>
      </c>
      <c r="B897" t="s">
        <v>2549</v>
      </c>
      <c r="C897" t="s">
        <v>6</v>
      </c>
      <c r="D897" t="s">
        <v>1838</v>
      </c>
      <c r="E897" t="s">
        <v>2550</v>
      </c>
    </row>
    <row r="898" spans="1:5" x14ac:dyDescent="0.3">
      <c r="A898">
        <v>897</v>
      </c>
      <c r="B898" t="s">
        <v>2551</v>
      </c>
      <c r="C898" t="s">
        <v>6</v>
      </c>
      <c r="D898" t="s">
        <v>2552</v>
      </c>
      <c r="E898" t="s">
        <v>2553</v>
      </c>
    </row>
    <row r="899" spans="1:5" x14ac:dyDescent="0.3">
      <c r="A899">
        <v>898</v>
      </c>
      <c r="B899" t="s">
        <v>2554</v>
      </c>
      <c r="C899" t="s">
        <v>6</v>
      </c>
      <c r="D899" t="s">
        <v>2555</v>
      </c>
      <c r="E899" t="s">
        <v>2556</v>
      </c>
    </row>
    <row r="900" spans="1:5" x14ac:dyDescent="0.3">
      <c r="A900">
        <v>899</v>
      </c>
      <c r="B900" t="s">
        <v>2557</v>
      </c>
      <c r="C900" t="s">
        <v>14</v>
      </c>
      <c r="D900" t="s">
        <v>2558</v>
      </c>
      <c r="E900" t="s">
        <v>2559</v>
      </c>
    </row>
    <row r="901" spans="1:5" x14ac:dyDescent="0.3">
      <c r="A901">
        <v>900</v>
      </c>
      <c r="B901" t="s">
        <v>2560</v>
      </c>
      <c r="C901" t="s">
        <v>29</v>
      </c>
      <c r="D901" t="s">
        <v>2561</v>
      </c>
      <c r="E901" t="s">
        <v>2562</v>
      </c>
    </row>
    <row r="902" spans="1:5" x14ac:dyDescent="0.3">
      <c r="A902">
        <v>901</v>
      </c>
      <c r="B902" t="s">
        <v>2563</v>
      </c>
      <c r="C902" t="s">
        <v>6</v>
      </c>
      <c r="D902" t="s">
        <v>2564</v>
      </c>
      <c r="E902" t="s">
        <v>2565</v>
      </c>
    </row>
    <row r="903" spans="1:5" x14ac:dyDescent="0.3">
      <c r="A903">
        <v>902</v>
      </c>
      <c r="B903" t="s">
        <v>2566</v>
      </c>
      <c r="C903" t="s">
        <v>14</v>
      </c>
      <c r="D903" t="s">
        <v>2567</v>
      </c>
      <c r="E903" t="s">
        <v>2568</v>
      </c>
    </row>
    <row r="904" spans="1:5" x14ac:dyDescent="0.3">
      <c r="A904">
        <v>903</v>
      </c>
      <c r="B904" t="s">
        <v>2569</v>
      </c>
      <c r="C904" t="s">
        <v>6</v>
      </c>
      <c r="D904" t="s">
        <v>2570</v>
      </c>
      <c r="E904">
        <v>4186239588</v>
      </c>
    </row>
    <row r="905" spans="1:5" x14ac:dyDescent="0.3">
      <c r="A905">
        <v>904</v>
      </c>
      <c r="B905" t="s">
        <v>2571</v>
      </c>
      <c r="C905" t="s">
        <v>6</v>
      </c>
      <c r="D905" t="s">
        <v>2572</v>
      </c>
      <c r="E905" t="s">
        <v>2573</v>
      </c>
    </row>
    <row r="906" spans="1:5" x14ac:dyDescent="0.3">
      <c r="A906">
        <v>905</v>
      </c>
      <c r="B906" t="s">
        <v>2574</v>
      </c>
      <c r="C906" t="s">
        <v>29</v>
      </c>
      <c r="D906" t="s">
        <v>2076</v>
      </c>
      <c r="E906" t="s">
        <v>2575</v>
      </c>
    </row>
    <row r="907" spans="1:5" x14ac:dyDescent="0.3">
      <c r="A907">
        <v>906</v>
      </c>
      <c r="B907" t="s">
        <v>2576</v>
      </c>
      <c r="C907" t="s">
        <v>6</v>
      </c>
      <c r="D907" t="s">
        <v>2577</v>
      </c>
      <c r="E907" t="s">
        <v>2578</v>
      </c>
    </row>
    <row r="908" spans="1:5" x14ac:dyDescent="0.3">
      <c r="A908">
        <v>907</v>
      </c>
      <c r="B908" t="s">
        <v>2579</v>
      </c>
      <c r="C908" t="s">
        <v>14</v>
      </c>
      <c r="D908" t="s">
        <v>2580</v>
      </c>
      <c r="E908" t="s">
        <v>2581</v>
      </c>
    </row>
    <row r="909" spans="1:5" x14ac:dyDescent="0.3">
      <c r="A909">
        <v>908</v>
      </c>
      <c r="B909" t="s">
        <v>2582</v>
      </c>
      <c r="C909" t="s">
        <v>14</v>
      </c>
      <c r="D909" t="s">
        <v>2583</v>
      </c>
      <c r="E909" t="s">
        <v>2584</v>
      </c>
    </row>
    <row r="910" spans="1:5" x14ac:dyDescent="0.3">
      <c r="A910">
        <v>909</v>
      </c>
      <c r="B910" t="s">
        <v>2585</v>
      </c>
      <c r="C910" t="s">
        <v>14</v>
      </c>
      <c r="D910" t="s">
        <v>2586</v>
      </c>
      <c r="E910" t="s">
        <v>2587</v>
      </c>
    </row>
    <row r="911" spans="1:5" x14ac:dyDescent="0.3">
      <c r="A911">
        <v>910</v>
      </c>
      <c r="B911" t="s">
        <v>2588</v>
      </c>
      <c r="C911" t="s">
        <v>6</v>
      </c>
      <c r="D911" t="s">
        <v>2589</v>
      </c>
      <c r="E911" t="s">
        <v>2590</v>
      </c>
    </row>
    <row r="912" spans="1:5" x14ac:dyDescent="0.3">
      <c r="A912">
        <v>911</v>
      </c>
      <c r="B912" t="s">
        <v>2591</v>
      </c>
      <c r="C912" t="s">
        <v>10</v>
      </c>
      <c r="D912" t="s">
        <v>2592</v>
      </c>
      <c r="E912" t="s">
        <v>2593</v>
      </c>
    </row>
    <row r="913" spans="1:5" x14ac:dyDescent="0.3">
      <c r="A913">
        <v>912</v>
      </c>
      <c r="B913" t="s">
        <v>2594</v>
      </c>
      <c r="C913" t="s">
        <v>29</v>
      </c>
      <c r="D913" t="s">
        <v>2595</v>
      </c>
      <c r="E913" t="s">
        <v>2596</v>
      </c>
    </row>
    <row r="914" spans="1:5" x14ac:dyDescent="0.3">
      <c r="A914">
        <v>913</v>
      </c>
      <c r="B914" t="s">
        <v>2597</v>
      </c>
      <c r="C914" t="s">
        <v>14</v>
      </c>
      <c r="D914" t="s">
        <v>2598</v>
      </c>
      <c r="E914">
        <v>2972292136</v>
      </c>
    </row>
    <row r="915" spans="1:5" x14ac:dyDescent="0.3">
      <c r="A915">
        <v>914</v>
      </c>
      <c r="B915" t="s">
        <v>2599</v>
      </c>
      <c r="C915" t="s">
        <v>10</v>
      </c>
      <c r="D915" t="s">
        <v>2600</v>
      </c>
      <c r="E915">
        <v>284721603</v>
      </c>
    </row>
    <row r="916" spans="1:5" x14ac:dyDescent="0.3">
      <c r="A916">
        <v>915</v>
      </c>
      <c r="B916" t="s">
        <v>2601</v>
      </c>
      <c r="C916" t="s">
        <v>6</v>
      </c>
      <c r="D916" t="s">
        <v>2602</v>
      </c>
      <c r="E916" t="s">
        <v>2603</v>
      </c>
    </row>
    <row r="917" spans="1:5" x14ac:dyDescent="0.3">
      <c r="A917">
        <v>916</v>
      </c>
      <c r="B917" t="s">
        <v>2604</v>
      </c>
      <c r="C917" t="s">
        <v>6</v>
      </c>
      <c r="D917" t="s">
        <v>2605</v>
      </c>
      <c r="E917" t="s">
        <v>2606</v>
      </c>
    </row>
    <row r="918" spans="1:5" x14ac:dyDescent="0.3">
      <c r="A918">
        <v>917</v>
      </c>
      <c r="B918" t="s">
        <v>2607</v>
      </c>
      <c r="C918" t="s">
        <v>6</v>
      </c>
      <c r="D918" t="s">
        <v>2608</v>
      </c>
      <c r="E918" t="s">
        <v>2609</v>
      </c>
    </row>
    <row r="919" spans="1:5" x14ac:dyDescent="0.3">
      <c r="A919">
        <v>918</v>
      </c>
      <c r="B919" t="s">
        <v>2610</v>
      </c>
      <c r="C919" t="s">
        <v>29</v>
      </c>
      <c r="D919" t="s">
        <v>2611</v>
      </c>
      <c r="E919" t="s">
        <v>2612</v>
      </c>
    </row>
    <row r="920" spans="1:5" x14ac:dyDescent="0.3">
      <c r="A920">
        <v>919</v>
      </c>
      <c r="B920" t="s">
        <v>2613</v>
      </c>
      <c r="C920" t="s">
        <v>6</v>
      </c>
      <c r="D920" t="s">
        <v>408</v>
      </c>
      <c r="E920" t="s">
        <v>2614</v>
      </c>
    </row>
    <row r="921" spans="1:5" x14ac:dyDescent="0.3">
      <c r="A921">
        <v>920</v>
      </c>
      <c r="B921" t="s">
        <v>2615</v>
      </c>
      <c r="C921" t="s">
        <v>29</v>
      </c>
      <c r="D921" t="s">
        <v>2616</v>
      </c>
      <c r="E921" t="s">
        <v>2617</v>
      </c>
    </row>
    <row r="922" spans="1:5" x14ac:dyDescent="0.3">
      <c r="A922">
        <v>921</v>
      </c>
      <c r="B922" t="s">
        <v>2618</v>
      </c>
      <c r="C922" t="s">
        <v>10</v>
      </c>
      <c r="D922" t="s">
        <v>2619</v>
      </c>
      <c r="E922" t="s">
        <v>2620</v>
      </c>
    </row>
    <row r="923" spans="1:5" x14ac:dyDescent="0.3">
      <c r="A923">
        <v>922</v>
      </c>
      <c r="B923" t="s">
        <v>2621</v>
      </c>
      <c r="C923" t="s">
        <v>10</v>
      </c>
      <c r="D923" t="s">
        <v>2622</v>
      </c>
      <c r="E923">
        <v>4876887575</v>
      </c>
    </row>
    <row r="924" spans="1:5" x14ac:dyDescent="0.3">
      <c r="A924">
        <v>923</v>
      </c>
      <c r="B924" t="s">
        <v>2623</v>
      </c>
      <c r="C924" t="s">
        <v>6</v>
      </c>
      <c r="D924" t="s">
        <v>2624</v>
      </c>
      <c r="E924" t="s">
        <v>2625</v>
      </c>
    </row>
    <row r="925" spans="1:5" x14ac:dyDescent="0.3">
      <c r="A925">
        <v>924</v>
      </c>
      <c r="B925" t="s">
        <v>2626</v>
      </c>
      <c r="C925" t="s">
        <v>6</v>
      </c>
      <c r="D925" t="s">
        <v>2627</v>
      </c>
      <c r="E925" t="s">
        <v>2628</v>
      </c>
    </row>
    <row r="926" spans="1:5" x14ac:dyDescent="0.3">
      <c r="A926">
        <v>925</v>
      </c>
      <c r="B926" t="s">
        <v>2629</v>
      </c>
      <c r="C926" t="s">
        <v>10</v>
      </c>
      <c r="D926" t="s">
        <v>2630</v>
      </c>
      <c r="E926" t="s">
        <v>2631</v>
      </c>
    </row>
    <row r="927" spans="1:5" x14ac:dyDescent="0.3">
      <c r="A927">
        <v>926</v>
      </c>
      <c r="B927" t="s">
        <v>2632</v>
      </c>
      <c r="C927" t="s">
        <v>10</v>
      </c>
      <c r="D927" t="s">
        <v>2633</v>
      </c>
      <c r="E927" t="s">
        <v>2634</v>
      </c>
    </row>
    <row r="928" spans="1:5" x14ac:dyDescent="0.3">
      <c r="A928">
        <v>927</v>
      </c>
      <c r="B928" t="s">
        <v>2635</v>
      </c>
      <c r="C928" t="s">
        <v>10</v>
      </c>
      <c r="D928" t="s">
        <v>2636</v>
      </c>
      <c r="E928" t="s">
        <v>2637</v>
      </c>
    </row>
    <row r="929" spans="1:5" x14ac:dyDescent="0.3">
      <c r="A929">
        <v>928</v>
      </c>
      <c r="B929" t="s">
        <v>2638</v>
      </c>
      <c r="C929" t="s">
        <v>29</v>
      </c>
      <c r="D929" t="s">
        <v>2639</v>
      </c>
      <c r="E929" t="s">
        <v>2640</v>
      </c>
    </row>
    <row r="930" spans="1:5" x14ac:dyDescent="0.3">
      <c r="A930">
        <v>929</v>
      </c>
      <c r="B930" t="s">
        <v>2641</v>
      </c>
      <c r="C930" t="s">
        <v>29</v>
      </c>
      <c r="D930" t="s">
        <v>2642</v>
      </c>
      <c r="E930" t="s">
        <v>2643</v>
      </c>
    </row>
    <row r="931" spans="1:5" x14ac:dyDescent="0.3">
      <c r="A931">
        <v>930</v>
      </c>
      <c r="B931" t="s">
        <v>1817</v>
      </c>
      <c r="C931" t="s">
        <v>6</v>
      </c>
      <c r="D931" t="s">
        <v>2644</v>
      </c>
      <c r="E931" t="s">
        <v>2645</v>
      </c>
    </row>
    <row r="932" spans="1:5" x14ac:dyDescent="0.3">
      <c r="A932">
        <v>931</v>
      </c>
      <c r="B932" t="s">
        <v>2646</v>
      </c>
      <c r="C932" t="s">
        <v>10</v>
      </c>
      <c r="D932" t="s">
        <v>2647</v>
      </c>
      <c r="E932" t="s">
        <v>2648</v>
      </c>
    </row>
    <row r="933" spans="1:5" x14ac:dyDescent="0.3">
      <c r="A933">
        <v>932</v>
      </c>
      <c r="B933" t="s">
        <v>2649</v>
      </c>
      <c r="C933" t="s">
        <v>29</v>
      </c>
      <c r="D933" t="s">
        <v>2650</v>
      </c>
      <c r="E933" t="s">
        <v>2651</v>
      </c>
    </row>
    <row r="934" spans="1:5" x14ac:dyDescent="0.3">
      <c r="A934">
        <v>933</v>
      </c>
      <c r="B934" t="s">
        <v>2652</v>
      </c>
      <c r="C934" t="s">
        <v>14</v>
      </c>
      <c r="D934" t="s">
        <v>2653</v>
      </c>
      <c r="E934">
        <v>3517962649</v>
      </c>
    </row>
    <row r="935" spans="1:5" x14ac:dyDescent="0.3">
      <c r="A935">
        <v>934</v>
      </c>
      <c r="B935" t="s">
        <v>2654</v>
      </c>
      <c r="C935" t="s">
        <v>29</v>
      </c>
      <c r="D935" t="s">
        <v>2655</v>
      </c>
      <c r="E935" t="s">
        <v>2656</v>
      </c>
    </row>
    <row r="936" spans="1:5" x14ac:dyDescent="0.3">
      <c r="A936">
        <v>935</v>
      </c>
      <c r="B936" t="s">
        <v>2657</v>
      </c>
      <c r="C936" t="s">
        <v>14</v>
      </c>
      <c r="D936" t="s">
        <v>2658</v>
      </c>
      <c r="E936" t="s">
        <v>2659</v>
      </c>
    </row>
    <row r="937" spans="1:5" x14ac:dyDescent="0.3">
      <c r="A937">
        <v>936</v>
      </c>
      <c r="B937" t="s">
        <v>2660</v>
      </c>
      <c r="C937" t="s">
        <v>14</v>
      </c>
      <c r="D937" t="s">
        <v>2661</v>
      </c>
      <c r="E937" t="s">
        <v>2662</v>
      </c>
    </row>
    <row r="938" spans="1:5" x14ac:dyDescent="0.3">
      <c r="A938">
        <v>937</v>
      </c>
      <c r="B938" t="s">
        <v>2663</v>
      </c>
      <c r="C938" t="s">
        <v>14</v>
      </c>
      <c r="D938" t="s">
        <v>2664</v>
      </c>
      <c r="E938">
        <v>384311430</v>
      </c>
    </row>
    <row r="939" spans="1:5" x14ac:dyDescent="0.3">
      <c r="A939">
        <v>938</v>
      </c>
      <c r="B939" t="s">
        <v>2665</v>
      </c>
      <c r="C939" t="s">
        <v>14</v>
      </c>
      <c r="D939" t="s">
        <v>2666</v>
      </c>
      <c r="E939">
        <v>1084069823</v>
      </c>
    </row>
    <row r="940" spans="1:5" x14ac:dyDescent="0.3">
      <c r="A940">
        <v>939</v>
      </c>
      <c r="B940" t="s">
        <v>2667</v>
      </c>
      <c r="C940" t="s">
        <v>29</v>
      </c>
      <c r="D940" t="s">
        <v>2668</v>
      </c>
      <c r="E940" t="s">
        <v>2669</v>
      </c>
    </row>
    <row r="941" spans="1:5" x14ac:dyDescent="0.3">
      <c r="A941">
        <v>940</v>
      </c>
      <c r="B941" t="s">
        <v>2670</v>
      </c>
      <c r="C941" t="s">
        <v>29</v>
      </c>
      <c r="D941" t="s">
        <v>2671</v>
      </c>
      <c r="E941" t="s">
        <v>2672</v>
      </c>
    </row>
    <row r="942" spans="1:5" x14ac:dyDescent="0.3">
      <c r="A942">
        <v>941</v>
      </c>
      <c r="B942" t="s">
        <v>2673</v>
      </c>
      <c r="C942" t="s">
        <v>14</v>
      </c>
      <c r="D942" t="s">
        <v>2674</v>
      </c>
      <c r="E942" t="s">
        <v>2675</v>
      </c>
    </row>
    <row r="943" spans="1:5" x14ac:dyDescent="0.3">
      <c r="A943">
        <v>942</v>
      </c>
      <c r="B943" t="s">
        <v>2676</v>
      </c>
      <c r="C943" t="s">
        <v>29</v>
      </c>
      <c r="D943" t="s">
        <v>2677</v>
      </c>
      <c r="E943" t="s">
        <v>2678</v>
      </c>
    </row>
    <row r="944" spans="1:5" x14ac:dyDescent="0.3">
      <c r="A944">
        <v>943</v>
      </c>
      <c r="B944" t="s">
        <v>2679</v>
      </c>
      <c r="C944" t="s">
        <v>29</v>
      </c>
      <c r="D944" t="s">
        <v>2680</v>
      </c>
      <c r="E944" t="s">
        <v>2681</v>
      </c>
    </row>
    <row r="945" spans="1:5" x14ac:dyDescent="0.3">
      <c r="A945">
        <v>944</v>
      </c>
      <c r="B945" t="s">
        <v>2682</v>
      </c>
      <c r="C945" t="s">
        <v>29</v>
      </c>
      <c r="D945" t="s">
        <v>2683</v>
      </c>
      <c r="E945">
        <v>5282176863</v>
      </c>
    </row>
    <row r="946" spans="1:5" x14ac:dyDescent="0.3">
      <c r="A946">
        <v>945</v>
      </c>
      <c r="B946" t="s">
        <v>2684</v>
      </c>
      <c r="C946" t="s">
        <v>10</v>
      </c>
      <c r="D946" t="s">
        <v>2685</v>
      </c>
      <c r="E946" t="s">
        <v>2686</v>
      </c>
    </row>
    <row r="947" spans="1:5" x14ac:dyDescent="0.3">
      <c r="A947">
        <v>946</v>
      </c>
      <c r="B947" t="s">
        <v>2687</v>
      </c>
      <c r="C947" t="s">
        <v>29</v>
      </c>
      <c r="D947" t="s">
        <v>2688</v>
      </c>
      <c r="E947" t="s">
        <v>2689</v>
      </c>
    </row>
    <row r="948" spans="1:5" x14ac:dyDescent="0.3">
      <c r="A948">
        <v>947</v>
      </c>
      <c r="B948" t="s">
        <v>2690</v>
      </c>
      <c r="C948" t="s">
        <v>29</v>
      </c>
      <c r="D948" t="s">
        <v>2691</v>
      </c>
      <c r="E948" t="s">
        <v>2692</v>
      </c>
    </row>
    <row r="949" spans="1:5" x14ac:dyDescent="0.3">
      <c r="A949">
        <v>948</v>
      </c>
      <c r="B949" t="s">
        <v>2693</v>
      </c>
      <c r="C949" t="s">
        <v>14</v>
      </c>
      <c r="D949" t="s">
        <v>2694</v>
      </c>
      <c r="E949" t="s">
        <v>2695</v>
      </c>
    </row>
    <row r="950" spans="1:5" x14ac:dyDescent="0.3">
      <c r="A950">
        <v>949</v>
      </c>
      <c r="B950" t="s">
        <v>2696</v>
      </c>
      <c r="C950" t="s">
        <v>10</v>
      </c>
      <c r="D950" t="s">
        <v>2697</v>
      </c>
      <c r="E950">
        <f>1-586-713-6798</f>
        <v>-8096</v>
      </c>
    </row>
    <row r="951" spans="1:5" x14ac:dyDescent="0.3">
      <c r="A951">
        <v>950</v>
      </c>
      <c r="B951" t="s">
        <v>2698</v>
      </c>
      <c r="C951" t="s">
        <v>14</v>
      </c>
      <c r="D951" t="s">
        <v>2699</v>
      </c>
      <c r="E951" t="s">
        <v>2700</v>
      </c>
    </row>
    <row r="952" spans="1:5" x14ac:dyDescent="0.3">
      <c r="A952">
        <v>951</v>
      </c>
      <c r="B952" t="s">
        <v>2701</v>
      </c>
      <c r="C952" t="s">
        <v>10</v>
      </c>
      <c r="D952" t="s">
        <v>2702</v>
      </c>
      <c r="E952" t="s">
        <v>2703</v>
      </c>
    </row>
    <row r="953" spans="1:5" x14ac:dyDescent="0.3">
      <c r="A953">
        <v>952</v>
      </c>
      <c r="B953" t="s">
        <v>2704</v>
      </c>
      <c r="C953" t="s">
        <v>29</v>
      </c>
      <c r="D953" t="s">
        <v>2705</v>
      </c>
      <c r="E953">
        <f>1-630-809-8000</f>
        <v>-9438</v>
      </c>
    </row>
    <row r="954" spans="1:5" x14ac:dyDescent="0.3">
      <c r="A954">
        <v>953</v>
      </c>
      <c r="B954" t="s">
        <v>2706</v>
      </c>
      <c r="C954" t="s">
        <v>29</v>
      </c>
      <c r="D954" t="s">
        <v>2707</v>
      </c>
      <c r="E954" t="s">
        <v>2708</v>
      </c>
    </row>
    <row r="955" spans="1:5" x14ac:dyDescent="0.3">
      <c r="A955">
        <v>954</v>
      </c>
      <c r="B955" t="s">
        <v>2709</v>
      </c>
      <c r="C955" t="s">
        <v>14</v>
      </c>
      <c r="D955" t="s">
        <v>2710</v>
      </c>
      <c r="E955" t="s">
        <v>2711</v>
      </c>
    </row>
    <row r="956" spans="1:5" x14ac:dyDescent="0.3">
      <c r="A956">
        <v>955</v>
      </c>
      <c r="B956" t="s">
        <v>2712</v>
      </c>
      <c r="C956" t="s">
        <v>29</v>
      </c>
      <c r="D956" t="s">
        <v>2713</v>
      </c>
      <c r="E956" t="s">
        <v>2714</v>
      </c>
    </row>
    <row r="957" spans="1:5" x14ac:dyDescent="0.3">
      <c r="A957">
        <v>956</v>
      </c>
      <c r="B957" t="s">
        <v>2715</v>
      </c>
      <c r="C957" t="s">
        <v>29</v>
      </c>
      <c r="D957" t="s">
        <v>2716</v>
      </c>
      <c r="E957" t="s">
        <v>2717</v>
      </c>
    </row>
    <row r="958" spans="1:5" x14ac:dyDescent="0.3">
      <c r="A958">
        <v>957</v>
      </c>
      <c r="B958" t="s">
        <v>2718</v>
      </c>
      <c r="C958" t="s">
        <v>29</v>
      </c>
      <c r="D958" t="s">
        <v>2719</v>
      </c>
      <c r="E958">
        <v>2576243615</v>
      </c>
    </row>
    <row r="959" spans="1:5" x14ac:dyDescent="0.3">
      <c r="A959">
        <v>958</v>
      </c>
      <c r="B959" t="s">
        <v>206</v>
      </c>
      <c r="C959" t="s">
        <v>10</v>
      </c>
      <c r="D959" t="s">
        <v>2720</v>
      </c>
      <c r="E959" t="s">
        <v>2721</v>
      </c>
    </row>
    <row r="960" spans="1:5" x14ac:dyDescent="0.3">
      <c r="A960">
        <v>959</v>
      </c>
      <c r="B960" t="s">
        <v>2722</v>
      </c>
      <c r="C960" t="s">
        <v>29</v>
      </c>
      <c r="D960" t="s">
        <v>2723</v>
      </c>
      <c r="E960" t="s">
        <v>2724</v>
      </c>
    </row>
    <row r="961" spans="1:5" x14ac:dyDescent="0.3">
      <c r="A961">
        <v>960</v>
      </c>
      <c r="B961" t="s">
        <v>2725</v>
      </c>
      <c r="C961" t="s">
        <v>6</v>
      </c>
      <c r="D961" t="s">
        <v>2726</v>
      </c>
      <c r="E961" t="s">
        <v>2727</v>
      </c>
    </row>
    <row r="962" spans="1:5" x14ac:dyDescent="0.3">
      <c r="A962">
        <v>961</v>
      </c>
      <c r="B962" t="s">
        <v>2728</v>
      </c>
      <c r="C962" t="s">
        <v>14</v>
      </c>
      <c r="D962" t="s">
        <v>2729</v>
      </c>
      <c r="E962" t="s">
        <v>2730</v>
      </c>
    </row>
    <row r="963" spans="1:5" x14ac:dyDescent="0.3">
      <c r="A963">
        <v>962</v>
      </c>
      <c r="B963" t="s">
        <v>2731</v>
      </c>
      <c r="C963" t="s">
        <v>6</v>
      </c>
      <c r="D963" t="s">
        <v>2732</v>
      </c>
      <c r="E963" t="s">
        <v>2733</v>
      </c>
    </row>
    <row r="964" spans="1:5" x14ac:dyDescent="0.3">
      <c r="A964">
        <v>963</v>
      </c>
      <c r="B964" t="s">
        <v>2734</v>
      </c>
      <c r="C964" t="s">
        <v>14</v>
      </c>
      <c r="D964" t="s">
        <v>2735</v>
      </c>
      <c r="E964" t="s">
        <v>2736</v>
      </c>
    </row>
    <row r="965" spans="1:5" x14ac:dyDescent="0.3">
      <c r="A965">
        <v>964</v>
      </c>
      <c r="B965" t="s">
        <v>2737</v>
      </c>
      <c r="C965" t="s">
        <v>10</v>
      </c>
      <c r="D965" t="s">
        <v>2738</v>
      </c>
      <c r="E965" t="s">
        <v>2739</v>
      </c>
    </row>
    <row r="966" spans="1:5" x14ac:dyDescent="0.3">
      <c r="A966">
        <v>965</v>
      </c>
      <c r="B966" t="s">
        <v>2740</v>
      </c>
      <c r="C966" t="s">
        <v>14</v>
      </c>
      <c r="D966" t="s">
        <v>2741</v>
      </c>
      <c r="E966" t="s">
        <v>2742</v>
      </c>
    </row>
    <row r="967" spans="1:5" x14ac:dyDescent="0.3">
      <c r="A967">
        <v>966</v>
      </c>
      <c r="B967" t="s">
        <v>2743</v>
      </c>
      <c r="C967" t="s">
        <v>14</v>
      </c>
      <c r="D967" t="s">
        <v>2744</v>
      </c>
      <c r="E967" t="s">
        <v>2745</v>
      </c>
    </row>
    <row r="968" spans="1:5" x14ac:dyDescent="0.3">
      <c r="A968">
        <v>967</v>
      </c>
      <c r="B968" t="s">
        <v>2746</v>
      </c>
      <c r="C968" t="s">
        <v>10</v>
      </c>
      <c r="D968" t="s">
        <v>2747</v>
      </c>
      <c r="E968" t="s">
        <v>2748</v>
      </c>
    </row>
    <row r="969" spans="1:5" x14ac:dyDescent="0.3">
      <c r="A969">
        <v>968</v>
      </c>
      <c r="B969" t="s">
        <v>2749</v>
      </c>
      <c r="C969" t="s">
        <v>10</v>
      </c>
      <c r="D969" t="s">
        <v>2750</v>
      </c>
      <c r="E969" t="s">
        <v>2751</v>
      </c>
    </row>
    <row r="970" spans="1:5" x14ac:dyDescent="0.3">
      <c r="A970">
        <v>969</v>
      </c>
      <c r="B970" t="s">
        <v>2752</v>
      </c>
      <c r="C970" t="s">
        <v>14</v>
      </c>
      <c r="D970" t="s">
        <v>2753</v>
      </c>
      <c r="E970" t="s">
        <v>2754</v>
      </c>
    </row>
    <row r="971" spans="1:5" x14ac:dyDescent="0.3">
      <c r="A971">
        <v>970</v>
      </c>
      <c r="B971" t="s">
        <v>2755</v>
      </c>
      <c r="C971" t="s">
        <v>6</v>
      </c>
      <c r="D971" t="s">
        <v>2756</v>
      </c>
      <c r="E971">
        <f>1-563-122-2255</f>
        <v>-2939</v>
      </c>
    </row>
    <row r="972" spans="1:5" x14ac:dyDescent="0.3">
      <c r="A972">
        <v>971</v>
      </c>
      <c r="B972" t="s">
        <v>2757</v>
      </c>
      <c r="C972" t="s">
        <v>10</v>
      </c>
      <c r="D972" t="s">
        <v>2758</v>
      </c>
      <c r="E972" t="s">
        <v>2759</v>
      </c>
    </row>
    <row r="973" spans="1:5" x14ac:dyDescent="0.3">
      <c r="A973">
        <v>972</v>
      </c>
      <c r="B973" t="s">
        <v>2760</v>
      </c>
      <c r="C973" t="s">
        <v>10</v>
      </c>
      <c r="D973" t="s">
        <v>2761</v>
      </c>
      <c r="E973" t="s">
        <v>2762</v>
      </c>
    </row>
    <row r="974" spans="1:5" x14ac:dyDescent="0.3">
      <c r="A974">
        <v>973</v>
      </c>
      <c r="B974" t="s">
        <v>2763</v>
      </c>
      <c r="C974" t="s">
        <v>14</v>
      </c>
      <c r="D974" t="s">
        <v>2764</v>
      </c>
      <c r="E974" t="s">
        <v>2765</v>
      </c>
    </row>
    <row r="975" spans="1:5" x14ac:dyDescent="0.3">
      <c r="A975">
        <v>974</v>
      </c>
      <c r="B975" t="s">
        <v>2766</v>
      </c>
      <c r="C975" t="s">
        <v>14</v>
      </c>
      <c r="D975" t="s">
        <v>2767</v>
      </c>
      <c r="E975" t="s">
        <v>2768</v>
      </c>
    </row>
    <row r="976" spans="1:5" x14ac:dyDescent="0.3">
      <c r="A976">
        <v>975</v>
      </c>
      <c r="B976" t="s">
        <v>2769</v>
      </c>
      <c r="C976" t="s">
        <v>10</v>
      </c>
      <c r="D976" t="s">
        <v>2770</v>
      </c>
      <c r="E976" t="s">
        <v>2771</v>
      </c>
    </row>
    <row r="977" spans="1:5" x14ac:dyDescent="0.3">
      <c r="A977">
        <v>976</v>
      </c>
      <c r="B977" t="s">
        <v>2772</v>
      </c>
      <c r="C977" t="s">
        <v>10</v>
      </c>
      <c r="D977" t="s">
        <v>2773</v>
      </c>
      <c r="E977" t="s">
        <v>2774</v>
      </c>
    </row>
    <row r="978" spans="1:5" x14ac:dyDescent="0.3">
      <c r="A978">
        <v>977</v>
      </c>
      <c r="B978" t="s">
        <v>2775</v>
      </c>
      <c r="C978" t="s">
        <v>29</v>
      </c>
      <c r="D978" t="s">
        <v>2776</v>
      </c>
      <c r="E978" t="s">
        <v>2777</v>
      </c>
    </row>
    <row r="979" spans="1:5" x14ac:dyDescent="0.3">
      <c r="A979">
        <v>978</v>
      </c>
      <c r="B979" t="s">
        <v>2778</v>
      </c>
      <c r="C979" t="s">
        <v>10</v>
      </c>
      <c r="D979" t="s">
        <v>2779</v>
      </c>
      <c r="E979" t="s">
        <v>2780</v>
      </c>
    </row>
    <row r="980" spans="1:5" x14ac:dyDescent="0.3">
      <c r="A980">
        <v>979</v>
      </c>
      <c r="B980" t="s">
        <v>2781</v>
      </c>
      <c r="C980" t="s">
        <v>29</v>
      </c>
      <c r="D980" t="s">
        <v>2782</v>
      </c>
      <c r="E980" t="s">
        <v>2783</v>
      </c>
    </row>
    <row r="981" spans="1:5" x14ac:dyDescent="0.3">
      <c r="A981">
        <v>980</v>
      </c>
      <c r="B981" t="s">
        <v>2784</v>
      </c>
      <c r="C981" t="s">
        <v>6</v>
      </c>
      <c r="D981" t="s">
        <v>2785</v>
      </c>
      <c r="E981" t="s">
        <v>2786</v>
      </c>
    </row>
    <row r="982" spans="1:5" x14ac:dyDescent="0.3">
      <c r="A982">
        <v>981</v>
      </c>
      <c r="B982" t="s">
        <v>2787</v>
      </c>
      <c r="C982" t="s">
        <v>6</v>
      </c>
      <c r="D982" t="s">
        <v>2788</v>
      </c>
      <c r="E982" t="s">
        <v>2789</v>
      </c>
    </row>
    <row r="983" spans="1:5" x14ac:dyDescent="0.3">
      <c r="A983">
        <v>982</v>
      </c>
      <c r="B983" t="s">
        <v>2790</v>
      </c>
      <c r="C983" t="s">
        <v>14</v>
      </c>
      <c r="D983" t="s">
        <v>2791</v>
      </c>
      <c r="E983" t="s">
        <v>2792</v>
      </c>
    </row>
    <row r="984" spans="1:5" x14ac:dyDescent="0.3">
      <c r="A984">
        <v>983</v>
      </c>
      <c r="B984" t="s">
        <v>2793</v>
      </c>
      <c r="C984" t="s">
        <v>14</v>
      </c>
      <c r="D984" t="s">
        <v>2794</v>
      </c>
      <c r="E984" t="s">
        <v>2795</v>
      </c>
    </row>
    <row r="985" spans="1:5" x14ac:dyDescent="0.3">
      <c r="A985">
        <v>984</v>
      </c>
      <c r="B985" t="s">
        <v>2796</v>
      </c>
      <c r="C985" t="s">
        <v>29</v>
      </c>
      <c r="D985" t="s">
        <v>2797</v>
      </c>
      <c r="E985" t="s">
        <v>2798</v>
      </c>
    </row>
    <row r="986" spans="1:5" x14ac:dyDescent="0.3">
      <c r="A986">
        <v>985</v>
      </c>
      <c r="B986" t="s">
        <v>2799</v>
      </c>
      <c r="C986" t="s">
        <v>14</v>
      </c>
      <c r="D986" t="s">
        <v>2800</v>
      </c>
      <c r="E986" t="s">
        <v>2801</v>
      </c>
    </row>
    <row r="987" spans="1:5" x14ac:dyDescent="0.3">
      <c r="A987">
        <v>986</v>
      </c>
      <c r="B987" t="s">
        <v>2802</v>
      </c>
      <c r="C987" t="s">
        <v>6</v>
      </c>
      <c r="D987" t="s">
        <v>2803</v>
      </c>
      <c r="E987">
        <f>1-347-306-2056</f>
        <v>-2708</v>
      </c>
    </row>
    <row r="988" spans="1:5" x14ac:dyDescent="0.3">
      <c r="A988">
        <v>987</v>
      </c>
      <c r="B988" t="s">
        <v>2804</v>
      </c>
      <c r="C988" t="s">
        <v>6</v>
      </c>
      <c r="D988" t="s">
        <v>2805</v>
      </c>
      <c r="E988">
        <v>7907087489</v>
      </c>
    </row>
    <row r="989" spans="1:5" x14ac:dyDescent="0.3">
      <c r="A989">
        <v>988</v>
      </c>
      <c r="B989" t="s">
        <v>2806</v>
      </c>
      <c r="C989" t="s">
        <v>29</v>
      </c>
      <c r="D989" t="s">
        <v>2807</v>
      </c>
      <c r="E989" t="s">
        <v>2808</v>
      </c>
    </row>
    <row r="990" spans="1:5" x14ac:dyDescent="0.3">
      <c r="A990">
        <v>989</v>
      </c>
      <c r="B990" t="s">
        <v>2809</v>
      </c>
      <c r="C990" t="s">
        <v>10</v>
      </c>
      <c r="D990" t="s">
        <v>2810</v>
      </c>
      <c r="E990" t="s">
        <v>2811</v>
      </c>
    </row>
    <row r="991" spans="1:5" x14ac:dyDescent="0.3">
      <c r="A991">
        <v>990</v>
      </c>
      <c r="B991" t="s">
        <v>2812</v>
      </c>
      <c r="C991" t="s">
        <v>6</v>
      </c>
      <c r="D991" t="s">
        <v>2813</v>
      </c>
      <c r="E991" t="s">
        <v>2814</v>
      </c>
    </row>
    <row r="992" spans="1:5" x14ac:dyDescent="0.3">
      <c r="A992">
        <v>991</v>
      </c>
      <c r="B992" t="s">
        <v>2815</v>
      </c>
      <c r="C992" t="s">
        <v>6</v>
      </c>
      <c r="D992" t="s">
        <v>2816</v>
      </c>
      <c r="E992" t="s">
        <v>2817</v>
      </c>
    </row>
    <row r="993" spans="1:5" x14ac:dyDescent="0.3">
      <c r="A993">
        <v>992</v>
      </c>
      <c r="B993" t="s">
        <v>2818</v>
      </c>
      <c r="C993" t="s">
        <v>10</v>
      </c>
      <c r="D993" t="s">
        <v>2819</v>
      </c>
      <c r="E993" t="s">
        <v>2820</v>
      </c>
    </row>
    <row r="994" spans="1:5" x14ac:dyDescent="0.3">
      <c r="A994">
        <v>993</v>
      </c>
      <c r="B994" t="s">
        <v>2821</v>
      </c>
      <c r="C994" t="s">
        <v>6</v>
      </c>
      <c r="D994" t="s">
        <v>2822</v>
      </c>
      <c r="E994" t="s">
        <v>2823</v>
      </c>
    </row>
    <row r="995" spans="1:5" x14ac:dyDescent="0.3">
      <c r="A995">
        <v>994</v>
      </c>
      <c r="B995" t="s">
        <v>2824</v>
      </c>
      <c r="C995" t="s">
        <v>14</v>
      </c>
      <c r="D995" t="s">
        <v>2825</v>
      </c>
      <c r="E995" t="s">
        <v>2826</v>
      </c>
    </row>
    <row r="996" spans="1:5" x14ac:dyDescent="0.3">
      <c r="A996">
        <v>995</v>
      </c>
      <c r="B996" t="s">
        <v>2827</v>
      </c>
      <c r="C996" t="s">
        <v>10</v>
      </c>
      <c r="D996" t="s">
        <v>2828</v>
      </c>
      <c r="E996" t="s">
        <v>2829</v>
      </c>
    </row>
    <row r="997" spans="1:5" x14ac:dyDescent="0.3">
      <c r="A997">
        <v>996</v>
      </c>
      <c r="B997" t="s">
        <v>2830</v>
      </c>
      <c r="C997" t="s">
        <v>6</v>
      </c>
      <c r="D997" t="s">
        <v>2831</v>
      </c>
      <c r="E997" t="s">
        <v>2832</v>
      </c>
    </row>
    <row r="998" spans="1:5" x14ac:dyDescent="0.3">
      <c r="A998">
        <v>997</v>
      </c>
      <c r="B998" t="s">
        <v>2833</v>
      </c>
      <c r="C998" t="s">
        <v>14</v>
      </c>
      <c r="D998" t="s">
        <v>2834</v>
      </c>
      <c r="E998" t="s">
        <v>2835</v>
      </c>
    </row>
    <row r="999" spans="1:5" x14ac:dyDescent="0.3">
      <c r="A999">
        <v>998</v>
      </c>
      <c r="B999" t="s">
        <v>2836</v>
      </c>
      <c r="C999" t="s">
        <v>10</v>
      </c>
      <c r="D999" t="s">
        <v>2837</v>
      </c>
      <c r="E999" t="s">
        <v>2838</v>
      </c>
    </row>
    <row r="1000" spans="1:5" x14ac:dyDescent="0.3">
      <c r="A1000">
        <v>999</v>
      </c>
      <c r="B1000" t="s">
        <v>2839</v>
      </c>
      <c r="C1000" t="s">
        <v>14</v>
      </c>
      <c r="D1000" t="s">
        <v>2840</v>
      </c>
      <c r="E1000" t="s">
        <v>2841</v>
      </c>
    </row>
    <row r="1001" spans="1:5" x14ac:dyDescent="0.3">
      <c r="A1001">
        <v>1000</v>
      </c>
      <c r="B1001" t="s">
        <v>2842</v>
      </c>
      <c r="C1001" t="s">
        <v>6</v>
      </c>
      <c r="D1001" t="s">
        <v>2843</v>
      </c>
      <c r="E1001" t="s">
        <v>2844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receivers_data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GULFAM SHEIKH</cp:lastModifiedBy>
  <dcterms:created xsi:type="dcterms:W3CDTF">2025-07-29T13:04:50Z</dcterms:created>
  <dcterms:modified xsi:type="dcterms:W3CDTF">2025-07-29T13:04:50Z</dcterms:modified>
</cp:coreProperties>
</file>